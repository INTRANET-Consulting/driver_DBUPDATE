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Lenkerstunden" sheetId="1" r:id="rId4"/>
    <sheet state="visible" name="Dienste" sheetId="2" r:id="rId5"/>
    <sheet state="visible" name="Lenker" sheetId="3" r:id="rId6"/>
    <sheet state="visible" name="Feiertage" sheetId="4" r:id="rId7"/>
    <sheet state="visible" name="DP-Vorlage" sheetId="5" r:id="rId8"/>
    <sheet state="hidden" name="Umläufe" sheetId="6" r:id="rId9"/>
  </sheets>
  <definedNames>
    <definedName name="WoS">Dienste!$L$2:$L$20</definedName>
    <definedName name="SoS">Dienste!$J$2:$J$20</definedName>
    <definedName name="WmS">Dienste!$K$2:$K$29</definedName>
    <definedName name="SmS">Dienste!$I$2:$I$29</definedName>
    <definedName hidden="1" localSheetId="0" name="_xlnm._FilterDatabase">Lenkerstunden!$A$7:$A$85</definedName>
    <definedName hidden="1" localSheetId="4" name="_xlnm._FilterDatabase">'DP-Vorlage'!$A$7:$A$37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">
      <text>
        <t xml:space="preserve">Korrektur - Zeiten:
Negative Zeiten sind nach dem Minuszeichen unter Anführungszeichen einzugeben, z.B. -"00:35".</t>
      </text>
    </comment>
  </commentList>
</comments>
</file>

<file path=xl/sharedStrings.xml><?xml version="1.0" encoding="utf-8"?>
<sst xmlns="http://schemas.openxmlformats.org/spreadsheetml/2006/main" count="1138" uniqueCount="279">
  <si>
    <t>Lenkerstunden</t>
  </si>
  <si>
    <t>Monat</t>
  </si>
  <si>
    <t>MoFroS</t>
  </si>
  <si>
    <t>Jahr</t>
  </si>
  <si>
    <t>Samstag</t>
  </si>
  <si>
    <t>Gesamtstunden</t>
  </si>
  <si>
    <t>So. u. Fe.</t>
  </si>
  <si>
    <t>Gesamt</t>
  </si>
  <si>
    <t>Dienst-Nr.</t>
  </si>
  <si>
    <t>280X</t>
  </si>
  <si>
    <t>Lenker</t>
  </si>
  <si>
    <t>Soll-Std.</t>
  </si>
  <si>
    <t>Ist-Std.</t>
  </si>
  <si>
    <t>Abw. [%]</t>
  </si>
  <si>
    <t>Anz. [So.]</t>
  </si>
  <si>
    <t>Andreas Brugger</t>
  </si>
  <si>
    <t>Arnold Pali</t>
  </si>
  <si>
    <t>Daniel Gruber</t>
  </si>
  <si>
    <t>Darko Peric</t>
  </si>
  <si>
    <t>Dean Todic</t>
  </si>
  <si>
    <t>Gernot Mitterbäck</t>
  </si>
  <si>
    <t>Goran Rasic</t>
  </si>
  <si>
    <t>Hannes Gigler</t>
  </si>
  <si>
    <t>Hannes Koch</t>
  </si>
  <si>
    <t>Herwig Platzner</t>
  </si>
  <si>
    <t>Iosif Bagosi</t>
  </si>
  <si>
    <t>Zoltan Molnar</t>
  </si>
  <si>
    <t>Oswald Burgstaller</t>
  </si>
  <si>
    <t>Tamas Pavelka</t>
  </si>
  <si>
    <t>Sabine Gurker</t>
  </si>
  <si>
    <t>Werner Pucher</t>
  </si>
  <si>
    <t>Wolfgang Lax</t>
  </si>
  <si>
    <t>Christoph Fischer</t>
  </si>
  <si>
    <t>Matthias Neubacher</t>
  </si>
  <si>
    <t>Theresa Wegscheider</t>
  </si>
  <si>
    <t>Josef Wegscheider</t>
  </si>
  <si>
    <t>Radenthein</t>
  </si>
  <si>
    <t>Djoric</t>
  </si>
  <si>
    <t>Tagosi</t>
  </si>
  <si>
    <t xml:space="preserve">Ardalan Taherkhani </t>
  </si>
  <si>
    <t>Christoph Schiffer</t>
  </si>
  <si>
    <t>Dustin Draschoff</t>
  </si>
  <si>
    <t>Vedran</t>
  </si>
  <si>
    <t>Nico Pertl</t>
  </si>
  <si>
    <t>Hans Bärnthaler</t>
  </si>
  <si>
    <t>Horst Schwarz</t>
  </si>
  <si>
    <t>Stefan Roth</t>
  </si>
  <si>
    <t>Peter Spreitzer</t>
  </si>
  <si>
    <t>Annette Waiguny</t>
  </si>
  <si>
    <t>Hubert Strasser</t>
  </si>
  <si>
    <t>Rainer Worm</t>
  </si>
  <si>
    <t>Reinhard Steinwender</t>
  </si>
  <si>
    <t>Manfred Striedinger</t>
  </si>
  <si>
    <t>Linien / Dienst</t>
  </si>
  <si>
    <t>VAD [mS]</t>
  </si>
  <si>
    <t>VAD [oS]</t>
  </si>
  <si>
    <t>Diäten</t>
  </si>
  <si>
    <t>Tag</t>
  </si>
  <si>
    <t>KFZ-Ort</t>
  </si>
  <si>
    <t>SmS</t>
  </si>
  <si>
    <t>SoS</t>
  </si>
  <si>
    <t>WmS</t>
  </si>
  <si>
    <t>WoS</t>
  </si>
  <si>
    <t>Dienst 1</t>
  </si>
  <si>
    <t>401mS</t>
  </si>
  <si>
    <t>Mo-Fr</t>
  </si>
  <si>
    <t>Leiten</t>
  </si>
  <si>
    <t>431oS</t>
  </si>
  <si>
    <t>401mS WI</t>
  </si>
  <si>
    <t>431oS WI</t>
  </si>
  <si>
    <t>Dienst 2</t>
  </si>
  <si>
    <t>Oberglan</t>
  </si>
  <si>
    <t>402mS</t>
  </si>
  <si>
    <t>432oS</t>
  </si>
  <si>
    <t>Dienst 3</t>
  </si>
  <si>
    <t>Deutsch Griffen</t>
  </si>
  <si>
    <t>403mS</t>
  </si>
  <si>
    <t>433oS</t>
  </si>
  <si>
    <t>Dienst 4</t>
  </si>
  <si>
    <t>Himmelberg</t>
  </si>
  <si>
    <t>404mS</t>
  </si>
  <si>
    <t>434oS</t>
  </si>
  <si>
    <t>Dienst 5</t>
  </si>
  <si>
    <t>Sirnitz</t>
  </si>
  <si>
    <t>405mS</t>
  </si>
  <si>
    <t>435oS-HOF</t>
  </si>
  <si>
    <t>Dienst 6</t>
  </si>
  <si>
    <t>Ossiach</t>
  </si>
  <si>
    <t>406mS</t>
  </si>
  <si>
    <t>436oS-TAF</t>
  </si>
  <si>
    <t>Dienst 7</t>
  </si>
  <si>
    <t>407mS</t>
  </si>
  <si>
    <t>437oS</t>
  </si>
  <si>
    <t>Dienst 8</t>
  </si>
  <si>
    <t>408mS-HOF</t>
  </si>
  <si>
    <t>438oS</t>
  </si>
  <si>
    <t>Dienst 9</t>
  </si>
  <si>
    <t>Zammelsberg</t>
  </si>
  <si>
    <t>409mS</t>
  </si>
  <si>
    <t>439oS</t>
  </si>
  <si>
    <t>Dienst 10</t>
  </si>
  <si>
    <t>410mS-TAF</t>
  </si>
  <si>
    <t>440oS</t>
  </si>
  <si>
    <t>Dienst 11</t>
  </si>
  <si>
    <t>Predlkreuz</t>
  </si>
  <si>
    <t>411mS</t>
  </si>
  <si>
    <t>451SA</t>
  </si>
  <si>
    <t>Dienst 12</t>
  </si>
  <si>
    <t>Reichenau</t>
  </si>
  <si>
    <t>412mS</t>
  </si>
  <si>
    <t>452SA</t>
  </si>
  <si>
    <t>Dienst 13</t>
  </si>
  <si>
    <t>413mS</t>
  </si>
  <si>
    <t>FT</t>
  </si>
  <si>
    <t>Dienst 14</t>
  </si>
  <si>
    <t>414mS</t>
  </si>
  <si>
    <t>K</t>
  </si>
  <si>
    <t>Dienst 15</t>
  </si>
  <si>
    <t>414mS-vor</t>
  </si>
  <si>
    <t>F</t>
  </si>
  <si>
    <t>Dienst 16</t>
  </si>
  <si>
    <t>414mS-nach</t>
  </si>
  <si>
    <t>U</t>
  </si>
  <si>
    <t>Dienst 17</t>
  </si>
  <si>
    <t>415mS</t>
  </si>
  <si>
    <t>SOF</t>
  </si>
  <si>
    <t>Dienst 18</t>
  </si>
  <si>
    <t>Klagenfurt</t>
  </si>
  <si>
    <t>416mS-WER</t>
  </si>
  <si>
    <t>MB</t>
  </si>
  <si>
    <t>Dienst 19</t>
  </si>
  <si>
    <t>Feldkirchen</t>
  </si>
  <si>
    <t>417mS-WER</t>
  </si>
  <si>
    <t>DI</t>
  </si>
  <si>
    <t>Dienst 20</t>
  </si>
  <si>
    <t>Dienst 21</t>
  </si>
  <si>
    <t>Dienst 22</t>
  </si>
  <si>
    <t>Dienst 23</t>
  </si>
  <si>
    <t>Dienst 24</t>
  </si>
  <si>
    <t>Dienst 25</t>
  </si>
  <si>
    <t>Dienst 26</t>
  </si>
  <si>
    <t>Dienst 27</t>
  </si>
  <si>
    <t>Dienst 28</t>
  </si>
  <si>
    <t>Dienst 29</t>
  </si>
  <si>
    <t>Dienst 30</t>
  </si>
  <si>
    <t>Dienst 31</t>
  </si>
  <si>
    <t>Dienst 32</t>
  </si>
  <si>
    <t>Sa.</t>
  </si>
  <si>
    <t>Dienst 33</t>
  </si>
  <si>
    <t>Feiertag</t>
  </si>
  <si>
    <t>-</t>
  </si>
  <si>
    <t>Krank</t>
  </si>
  <si>
    <t>FREI</t>
  </si>
  <si>
    <t>Urlaub</t>
  </si>
  <si>
    <t>Sonderfahrt</t>
  </si>
  <si>
    <t>Mobilbüro</t>
  </si>
  <si>
    <t>Dispo</t>
  </si>
  <si>
    <t>B-Grad [%]</t>
  </si>
  <si>
    <t>Krankenstand</t>
  </si>
  <si>
    <t>Fixdienst m.S.</t>
  </si>
  <si>
    <t>Fixdienst o.S.</t>
  </si>
  <si>
    <t>Blaskovic, Nenad</t>
  </si>
  <si>
    <t>frei</t>
  </si>
  <si>
    <t>Fröhlacher, Hubert</t>
  </si>
  <si>
    <t>411 + 412</t>
  </si>
  <si>
    <t>Genäuß, Thomas</t>
  </si>
  <si>
    <t>Hinteregger, Manfred</t>
  </si>
  <si>
    <t>Kandolf, Alfred</t>
  </si>
  <si>
    <t>Konheiser, Elisabeth</t>
  </si>
  <si>
    <t>Lauhart, Egon</t>
  </si>
  <si>
    <t>Madrutter, Anton</t>
  </si>
  <si>
    <t>412 + 411</t>
  </si>
  <si>
    <t>Niederbichler, Daniel</t>
  </si>
  <si>
    <t>Nurikic, Ervin</t>
  </si>
  <si>
    <t>Obersteiner, Roland</t>
  </si>
  <si>
    <t>Rauter, Agnes Zita</t>
  </si>
  <si>
    <t>Simon, Otto</t>
  </si>
  <si>
    <t>Bandzi, Attila</t>
  </si>
  <si>
    <t>Struckl, Stefan</t>
  </si>
  <si>
    <t>Merz, Matthias</t>
  </si>
  <si>
    <t>Granitzer, Hermann</t>
  </si>
  <si>
    <t>Thamer, Karl</t>
  </si>
  <si>
    <t>Sulics, Egon</t>
  </si>
  <si>
    <t>Klagenfurt - Fahrer</t>
  </si>
  <si>
    <t>Klagenfurt - Samstagsfahrer</t>
  </si>
  <si>
    <t>Summe</t>
  </si>
  <si>
    <t>Vollzeitbeschäftigung:</t>
  </si>
  <si>
    <t>Feiertagsvergütung [Vollzeit]:</t>
  </si>
  <si>
    <t>Krankenstand [Vollzeit]:</t>
  </si>
  <si>
    <t>Datum</t>
  </si>
  <si>
    <t>Neujahr</t>
  </si>
  <si>
    <t>Heilige Drei Könige</t>
  </si>
  <si>
    <t>Ostermontag</t>
  </si>
  <si>
    <t>Staatsfeiertag</t>
  </si>
  <si>
    <t>Christi Himmelfahrt</t>
  </si>
  <si>
    <t>Pfingstmontag</t>
  </si>
  <si>
    <t>Fronleichnam</t>
  </si>
  <si>
    <t>Mariä Himmelfahrt</t>
  </si>
  <si>
    <t>Nationalfeiertag</t>
  </si>
  <si>
    <t>Allerheiligen</t>
  </si>
  <si>
    <t>Mariä Empfängnis</t>
  </si>
  <si>
    <t>Weihnachten</t>
  </si>
  <si>
    <t>Stefanitag</t>
  </si>
  <si>
    <t>Dienstplan - Feldkirchen</t>
  </si>
  <si>
    <t>Sollstd. [mS]</t>
  </si>
  <si>
    <t>Sollstd. [oS]</t>
  </si>
  <si>
    <t>Juli</t>
  </si>
  <si>
    <t>Mo. - Fr.</t>
  </si>
  <si>
    <t>Prüfung</t>
  </si>
  <si>
    <t>414 - geteilt</t>
  </si>
  <si>
    <t>nein</t>
  </si>
  <si>
    <t>Sonntag</t>
  </si>
  <si>
    <t>mS / oS</t>
  </si>
  <si>
    <t>Schule</t>
  </si>
  <si>
    <t>schulfrei</t>
  </si>
  <si>
    <t>Dienstplan beginnt am:</t>
  </si>
  <si>
    <t>Dienstplan gilt für:</t>
  </si>
  <si>
    <t>Sommer [m.S.]</t>
  </si>
  <si>
    <t>* schulfreie Tage sind nur werktags zu definieren.</t>
  </si>
  <si>
    <t>Wochentag</t>
  </si>
  <si>
    <t>LD / RD / km</t>
  </si>
  <si>
    <t>Urlaub [konsum.]</t>
  </si>
  <si>
    <t>Resturlaub</t>
  </si>
  <si>
    <t>Korr. - Zeiten</t>
  </si>
  <si>
    <t>Korr. - Diäten</t>
  </si>
  <si>
    <t>Dienst</t>
  </si>
  <si>
    <t>VAD</t>
  </si>
  <si>
    <t>km</t>
  </si>
  <si>
    <t>3,55 Tage</t>
  </si>
  <si>
    <t>0:00</t>
  </si>
  <si>
    <t/>
  </si>
  <si>
    <t>10:00</t>
  </si>
  <si>
    <t>26 Tage</t>
  </si>
  <si>
    <t>9,33 Tage</t>
  </si>
  <si>
    <t>3:00</t>
  </si>
  <si>
    <t>5 Tage</t>
  </si>
  <si>
    <t>11:00</t>
  </si>
  <si>
    <t>23 Tage</t>
  </si>
  <si>
    <t>15,9 Tage</t>
  </si>
  <si>
    <t>8,92 Tage</t>
  </si>
  <si>
    <t>12:00</t>
  </si>
  <si>
    <t>28 Tage</t>
  </si>
  <si>
    <t>18 Tage</t>
  </si>
  <si>
    <t>9 Tage</t>
  </si>
  <si>
    <t>4,36 Tage</t>
  </si>
  <si>
    <t>8 Tage</t>
  </si>
  <si>
    <t>14,75 Tage</t>
  </si>
  <si>
    <t>20 Tage</t>
  </si>
  <si>
    <t>XY Tage</t>
  </si>
  <si>
    <t>0 Tage</t>
  </si>
  <si>
    <t>2,5 Tage</t>
  </si>
  <si>
    <t>Dienste / VAD / Diäten / km</t>
  </si>
  <si>
    <t>Legende:</t>
  </si>
  <si>
    <t>VAD [korrigiert]</t>
  </si>
  <si>
    <t>mS (mit Schule)</t>
  </si>
  <si>
    <t>K (Krank)</t>
  </si>
  <si>
    <t>Urlaub [gesamt]</t>
  </si>
  <si>
    <t>oS (ohne Schule)</t>
  </si>
  <si>
    <t>U (Urlaub)</t>
  </si>
  <si>
    <t>SOF [gesamt]</t>
  </si>
  <si>
    <t>LD (Liniendiäten)</t>
  </si>
  <si>
    <t>SOF (Sonderfahrt)</t>
  </si>
  <si>
    <t>Dispo [gesamt]</t>
  </si>
  <si>
    <t>RD (Reisediäten)</t>
  </si>
  <si>
    <t>MB (Mobilbüro)</t>
  </si>
  <si>
    <t>Zusatzdienste [gesamt]</t>
  </si>
  <si>
    <t>FT (Feiertag)</t>
  </si>
  <si>
    <t>DI (Dispo)</t>
  </si>
  <si>
    <t>Krankenstände [gesamt]</t>
  </si>
  <si>
    <t>F (frei)</t>
  </si>
  <si>
    <t>Mobilbüro [gesamt]</t>
  </si>
  <si>
    <t>VAD [Plan]</t>
  </si>
  <si>
    <t>Madrutter : bitte 3 Tage ZA gutschrieben! Danke</t>
  </si>
  <si>
    <t>&lt;-- erledigt, nur 210:52 statt 237:52 abrechnen</t>
  </si>
  <si>
    <t>Dienst 406</t>
  </si>
  <si>
    <t>1 x Lauchard</t>
  </si>
  <si>
    <t>3 x Struckl</t>
  </si>
  <si>
    <t>Dienstdauer = 10:51 h + 3 x 100 % Nachtzuschlag, deshalb 10:54 h abgerechnet</t>
  </si>
  <si>
    <t>Umlauf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</si>
</sst>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h]:mm"/>
    <numFmt numFmtId="165" formatCode="[hh]:mm"/>
    <numFmt numFmtId="166" formatCode="_-* #,##0\ _€_-;\-* #,##0\ _€_-;_-* &quot;-&quot;??\ _€_-;_-@"/>
    <numFmt numFmtId="167" formatCode="_-* #,##0.00\ _€_-;\-* #,##0.00\ _€_-;_-* &quot;-&quot;??\ _€_-;_-@"/>
  </numFmts>
  <fonts count="18">
    <font>
      <sz val="11.0"/>
      <color theme="1"/>
      <name val="Calibri"/>
      <scheme val="minor"/>
    </font>
    <font>
      <b/>
      <sz val="11.0"/>
      <color theme="1"/>
      <name val="Arial"/>
    </font>
    <font/>
    <font>
      <sz val="11.0"/>
      <color theme="1"/>
      <name val="Arial"/>
    </font>
    <font>
      <sz val="10.0"/>
      <color theme="1"/>
      <name val="Arial"/>
    </font>
    <font>
      <sz val="11.0"/>
      <color theme="1"/>
      <name val="Calibri"/>
    </font>
    <font>
      <sz val="11.0"/>
      <color rgb="FF3F3F76"/>
      <name val="Calibri"/>
    </font>
    <font>
      <b/>
      <sz val="11.0"/>
      <color theme="0"/>
      <name val="Arial"/>
    </font>
    <font>
      <b/>
      <sz val="10.0"/>
      <color theme="0"/>
      <name val="Arial"/>
    </font>
    <font>
      <sz val="11.0"/>
      <color rgb="FF3F3F76"/>
      <name val="Arial"/>
    </font>
    <font>
      <sz val="11.0"/>
      <color theme="1"/>
      <name val="Inherit"/>
    </font>
    <font>
      <b/>
      <sz val="14.0"/>
      <color rgb="FF44546A"/>
      <name val="Arial"/>
    </font>
    <font>
      <b/>
      <sz val="10.0"/>
      <color theme="1"/>
      <name val="Arial"/>
    </font>
    <font>
      <b/>
      <i/>
      <sz val="10.0"/>
      <color theme="0"/>
      <name val="Arial"/>
    </font>
    <font>
      <sz val="9.0"/>
      <color theme="1"/>
      <name val="Arial"/>
    </font>
    <font>
      <b/>
      <sz val="18.0"/>
      <color theme="1"/>
      <name val="Arial"/>
    </font>
    <font>
      <b/>
      <u/>
      <sz val="11.0"/>
      <color theme="1"/>
      <name val="Arial"/>
    </font>
    <font>
      <sz val="11.0"/>
      <color rgb="FF000000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FFCC99"/>
        <bgColor rgb="FFFFCC99"/>
      </patternFill>
    </fill>
    <fill>
      <patternFill patternType="solid">
        <fgColor rgb="FFD6DCE4"/>
        <bgColor rgb="FFD6DCE4"/>
      </patternFill>
    </fill>
    <fill>
      <patternFill patternType="solid">
        <fgColor rgb="FFFBE4D5"/>
        <bgColor rgb="FFFBE4D5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C00000"/>
        <bgColor rgb="FFC00000"/>
      </patternFill>
    </fill>
    <fill>
      <patternFill patternType="solid">
        <fgColor rgb="FFDADADA"/>
        <bgColor rgb="FFDADADA"/>
      </patternFill>
    </fill>
    <fill>
      <patternFill patternType="solid">
        <fgColor theme="0"/>
        <bgColor theme="0"/>
      </patternFill>
    </fill>
    <fill>
      <patternFill patternType="solid">
        <fgColor rgb="FFFFCCCC"/>
        <bgColor rgb="FFFFCCCC"/>
      </patternFill>
    </fill>
    <fill>
      <patternFill patternType="solid">
        <fgColor rgb="FFC5E0B3"/>
        <bgColor rgb="FFC5E0B3"/>
      </patternFill>
    </fill>
    <fill>
      <patternFill patternType="solid">
        <fgColor rgb="FFCCFFFF"/>
        <bgColor rgb="FFCCFFFF"/>
      </patternFill>
    </fill>
    <fill>
      <patternFill patternType="solid">
        <fgColor rgb="FF00FFCC"/>
        <bgColor rgb="FF00FFCC"/>
      </patternFill>
    </fill>
  </fills>
  <borders count="10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hair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medium">
        <color rgb="FF000000"/>
      </bottom>
    </border>
    <border>
      <left style="hair">
        <color rgb="FF000000"/>
      </left>
      <right style="double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 style="hair">
        <color rgb="FF000000"/>
      </right>
      <top style="thin">
        <color rgb="FF000000"/>
      </top>
      <bottom style="medium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medium">
        <color rgb="FF000000"/>
      </bottom>
    </border>
    <border>
      <left/>
      <right style="hair">
        <color rgb="FF000000"/>
      </right>
      <top/>
      <bottom style="thin">
        <color rgb="FF000000"/>
      </bottom>
    </border>
    <border>
      <left style="hair">
        <color rgb="FF000000"/>
      </left>
      <right style="hair">
        <color rgb="FF000000"/>
      </right>
      <top/>
      <bottom style="thin">
        <color rgb="FF000000"/>
      </bottom>
    </border>
    <border>
      <left style="hair">
        <color rgb="FF000000"/>
      </left>
      <right/>
      <top/>
      <bottom style="thin">
        <color rgb="FF000000"/>
      </bottom>
    </border>
    <border>
      <left style="thin">
        <color rgb="FF000000"/>
      </left>
      <right style="hair">
        <color rgb="FF000000"/>
      </right>
      <top style="medium">
        <color theme="1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medium">
        <color theme="1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medium">
        <color theme="1"/>
      </top>
      <bottom style="thin">
        <color rgb="FF000000"/>
      </bottom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</border>
    <border>
      <left style="hair">
        <color rgb="FF000000"/>
      </left>
    </border>
    <border>
      <left style="thin">
        <color rgb="FF000000"/>
      </left>
      <right style="hair">
        <color rgb="FF000000"/>
      </right>
      <top/>
      <bottom/>
    </border>
    <border>
      <left style="hair">
        <color rgb="FF000000"/>
      </left>
      <right style="hair">
        <color rgb="FF000000"/>
      </right>
      <top/>
      <bottom/>
    </border>
    <border>
      <left style="hair">
        <color rgb="FF000000"/>
      </left>
      <right style="thin">
        <color rgb="FF000000"/>
      </right>
      <top/>
      <bottom/>
    </border>
    <border>
      <left style="thin">
        <color rgb="FF000000"/>
      </left>
      <right style="hair">
        <color rgb="FF000000"/>
      </right>
    </border>
    <border>
      <left style="hair">
        <color rgb="FF000000"/>
      </left>
      <right style="thin">
        <color rgb="FF000000"/>
      </right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double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 style="double">
        <color rgb="FF000000"/>
      </right>
    </border>
    <border>
      <left style="medium">
        <color rgb="FF000000"/>
      </left>
      <bottom style="double">
        <color rgb="FF000000"/>
      </bottom>
    </border>
    <border>
      <left style="thin">
        <color rgb="FF000000"/>
      </left>
      <right style="double">
        <color rgb="FF000000"/>
      </right>
      <bottom style="double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double">
        <color rgb="FF000000"/>
      </right>
      <top style="thin">
        <color rgb="FF000000"/>
      </top>
      <bottom style="medium">
        <color rgb="FF000000"/>
      </bottom>
    </border>
    <border>
      <left style="hair">
        <color rgb="FF000000"/>
      </left>
      <right style="double">
        <color rgb="FF000000"/>
      </right>
      <top/>
      <bottom style="thin">
        <color rgb="FF000000"/>
      </bottom>
    </border>
    <border>
      <left style="double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double">
        <color rgb="FF000000"/>
      </right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 style="double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2" fillId="0" fontId="1" numFmtId="0" xfId="0" applyAlignment="1" applyBorder="1" applyFont="1">
      <alignment horizontal="left" vertical="center"/>
    </xf>
    <xf borderId="3" fillId="2" fontId="5" numFmtId="0" xfId="0" applyAlignment="1" applyBorder="1" applyFill="1" applyFont="1">
      <alignment horizontal="left" vertical="center"/>
    </xf>
    <xf borderId="4" fillId="0" fontId="4" numFmtId="14" xfId="0" applyAlignment="1" applyBorder="1" applyFont="1" applyNumberFormat="1">
      <alignment horizontal="left" vertical="center"/>
    </xf>
    <xf borderId="5" fillId="0" fontId="4" numFmtId="164" xfId="0" applyAlignment="1" applyBorder="1" applyFont="1" applyNumberFormat="1">
      <alignment horizontal="center" vertical="center"/>
    </xf>
    <xf borderId="3" fillId="0" fontId="4" numFmtId="164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left" vertical="center"/>
    </xf>
    <xf borderId="7" fillId="2" fontId="5" numFmtId="0" xfId="0" applyAlignment="1" applyBorder="1" applyFont="1">
      <alignment horizontal="left" vertical="center"/>
    </xf>
    <xf borderId="8" fillId="0" fontId="4" numFmtId="164" xfId="0" applyAlignment="1" applyBorder="1" applyFont="1" applyNumberFormat="1">
      <alignment horizontal="center" vertical="center"/>
    </xf>
    <xf borderId="9" fillId="0" fontId="1" numFmtId="0" xfId="0" applyAlignment="1" applyBorder="1" applyFont="1">
      <alignment horizontal="left" vertical="center"/>
    </xf>
    <xf borderId="10" fillId="0" fontId="3" numFmtId="0" xfId="0" applyAlignment="1" applyBorder="1" applyFont="1">
      <alignment horizontal="left" vertical="center"/>
    </xf>
    <xf borderId="11" fillId="0" fontId="1" numFmtId="0" xfId="0" applyAlignment="1" applyBorder="1" applyFont="1">
      <alignment horizontal="left" vertical="center"/>
    </xf>
    <xf borderId="11" fillId="0" fontId="6" numFmtId="0" xfId="0" applyAlignment="1" applyBorder="1" applyFont="1">
      <alignment horizontal="center" vertical="center"/>
    </xf>
    <xf borderId="12" fillId="0" fontId="4" numFmtId="164" xfId="0" applyAlignment="1" applyBorder="1" applyFont="1" applyNumberFormat="1">
      <alignment horizontal="center" vertical="center"/>
    </xf>
    <xf borderId="13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3" fillId="3" fontId="7" numFmtId="0" xfId="0" applyAlignment="1" applyBorder="1" applyFill="1" applyFont="1">
      <alignment horizontal="left" vertical="center"/>
    </xf>
    <xf borderId="5" fillId="3" fontId="8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vertical="center"/>
    </xf>
    <xf borderId="16" fillId="3" fontId="8" numFmtId="0" xfId="0" applyAlignment="1" applyBorder="1" applyFont="1">
      <alignment horizontal="center" vertical="center"/>
    </xf>
    <xf borderId="17" fillId="3" fontId="4" numFmtId="0" xfId="0" applyAlignment="1" applyBorder="1" applyFont="1">
      <alignment horizontal="center" vertical="center"/>
    </xf>
    <xf borderId="18" fillId="3" fontId="4" numFmtId="0" xfId="0" applyAlignment="1" applyBorder="1" applyFont="1">
      <alignment horizontal="center" vertical="center"/>
    </xf>
    <xf borderId="19" fillId="3" fontId="4" numFmtId="0" xfId="0" applyAlignment="1" applyBorder="1" applyFont="1">
      <alignment horizontal="center" vertical="center"/>
    </xf>
    <xf borderId="5" fillId="3" fontId="4" numFmtId="0" xfId="0" applyAlignment="1" applyBorder="1" applyFont="1">
      <alignment horizontal="center" vertical="center"/>
    </xf>
    <xf borderId="0" fillId="0" fontId="1" numFmtId="0" xfId="0" applyAlignment="1" applyFont="1">
      <alignment horizontal="left" vertical="center"/>
    </xf>
    <xf borderId="20" fillId="0" fontId="3" numFmtId="0" xfId="0" applyAlignment="1" applyBorder="1" applyFont="1">
      <alignment horizontal="left" vertical="center"/>
    </xf>
    <xf borderId="21" fillId="0" fontId="3" numFmtId="164" xfId="0" applyAlignment="1" applyBorder="1" applyFont="1" applyNumberFormat="1">
      <alignment horizontal="center" vertical="center"/>
    </xf>
    <xf borderId="15" fillId="0" fontId="3" numFmtId="0" xfId="0" applyAlignment="1" applyBorder="1" applyFont="1">
      <alignment horizontal="left" vertical="center"/>
    </xf>
    <xf borderId="16" fillId="0" fontId="3" numFmtId="0" xfId="0" applyAlignment="1" applyBorder="1" applyFont="1">
      <alignment horizontal="left" vertical="center"/>
    </xf>
    <xf borderId="17" fillId="0" fontId="3" numFmtId="0" xfId="0" applyAlignment="1" applyBorder="1" applyFont="1">
      <alignment horizontal="left" vertical="center"/>
    </xf>
    <xf borderId="18" fillId="0" fontId="3" numFmtId="164" xfId="0" applyAlignment="1" applyBorder="1" applyFont="1" applyNumberFormat="1">
      <alignment horizontal="center" vertical="center"/>
    </xf>
    <xf borderId="18" fillId="0" fontId="3" numFmtId="0" xfId="0" applyAlignment="1" applyBorder="1" applyFont="1">
      <alignment horizontal="left" vertical="center"/>
    </xf>
    <xf borderId="14" fillId="0" fontId="3" numFmtId="0" xfId="0" applyAlignment="1" applyBorder="1" applyFont="1">
      <alignment horizontal="left" vertical="center"/>
    </xf>
    <xf borderId="5" fillId="0" fontId="3" numFmtId="0" xfId="0" applyAlignment="1" applyBorder="1" applyFont="1">
      <alignment horizontal="left" vertical="center"/>
    </xf>
    <xf borderId="22" fillId="0" fontId="2" numFmtId="0" xfId="0" applyBorder="1" applyFont="1"/>
    <xf borderId="23" fillId="0" fontId="2" numFmtId="0" xfId="0" applyBorder="1" applyFont="1"/>
    <xf borderId="24" fillId="0" fontId="3" numFmtId="0" xfId="0" applyAlignment="1" applyBorder="1" applyFont="1">
      <alignment horizontal="left" vertical="center"/>
    </xf>
    <xf borderId="25" fillId="0" fontId="3" numFmtId="0" xfId="0" applyAlignment="1" applyBorder="1" applyFont="1">
      <alignment horizontal="left" vertical="center"/>
    </xf>
    <xf borderId="26" fillId="0" fontId="3" numFmtId="0" xfId="0" applyAlignment="1" applyBorder="1" applyFont="1">
      <alignment horizontal="left" vertical="center"/>
    </xf>
    <xf borderId="27" fillId="0" fontId="3" numFmtId="164" xfId="0" applyAlignment="1" applyBorder="1" applyFont="1" applyNumberFormat="1">
      <alignment horizontal="center" vertical="center"/>
    </xf>
    <xf borderId="27" fillId="0" fontId="3" numFmtId="0" xfId="0" applyAlignment="1" applyBorder="1" applyFont="1">
      <alignment horizontal="left" vertical="center"/>
    </xf>
    <xf borderId="28" fillId="0" fontId="3" numFmtId="0" xfId="0" applyAlignment="1" applyBorder="1" applyFont="1">
      <alignment horizontal="left" vertical="center"/>
    </xf>
    <xf borderId="21" fillId="0" fontId="3" numFmtId="0" xfId="0" applyAlignment="1" applyBorder="1" applyFont="1">
      <alignment horizontal="left" vertical="center"/>
    </xf>
    <xf borderId="29" fillId="0" fontId="2" numFmtId="0" xfId="0" applyBorder="1" applyFont="1"/>
    <xf borderId="30" fillId="0" fontId="2" numFmtId="0" xfId="0" applyBorder="1" applyFont="1"/>
    <xf borderId="31" fillId="0" fontId="3" numFmtId="0" xfId="0" applyAlignment="1" applyBorder="1" applyFont="1">
      <alignment horizontal="left" vertical="center"/>
    </xf>
    <xf borderId="32" fillId="0" fontId="3" numFmtId="0" xfId="0" applyAlignment="1" applyBorder="1" applyFont="1">
      <alignment horizontal="left" vertical="center"/>
    </xf>
    <xf borderId="33" fillId="0" fontId="3" numFmtId="0" xfId="0" applyAlignment="1" applyBorder="1" applyFont="1">
      <alignment horizontal="left" vertical="center"/>
    </xf>
    <xf borderId="34" fillId="0" fontId="3" numFmtId="164" xfId="0" applyAlignment="1" applyBorder="1" applyFont="1" applyNumberFormat="1">
      <alignment horizontal="center" vertical="center"/>
    </xf>
    <xf borderId="34" fillId="0" fontId="3" numFmtId="0" xfId="0" applyAlignment="1" applyBorder="1" applyFont="1">
      <alignment horizontal="left" vertical="center"/>
    </xf>
    <xf borderId="35" fillId="0" fontId="3" numFmtId="0" xfId="0" applyAlignment="1" applyBorder="1" applyFont="1">
      <alignment horizontal="left" vertical="center"/>
    </xf>
    <xf borderId="36" fillId="0" fontId="3" numFmtId="0" xfId="0" applyAlignment="1" applyBorder="1" applyFont="1">
      <alignment horizontal="left" vertical="center"/>
    </xf>
    <xf borderId="37" fillId="3" fontId="1" numFmtId="0" xfId="0" applyAlignment="1" applyBorder="1" applyFont="1">
      <alignment horizontal="left" readingOrder="0" shrinkToFit="0" vertical="center" wrapText="0"/>
    </xf>
    <xf borderId="38" fillId="3" fontId="1" numFmtId="0" xfId="0" applyAlignment="1" applyBorder="1" applyFont="1">
      <alignment horizontal="left" readingOrder="0" shrinkToFit="0" vertical="center" wrapText="0"/>
    </xf>
    <xf borderId="38" fillId="3" fontId="1" numFmtId="1" xfId="0" applyAlignment="1" applyBorder="1" applyFont="1" applyNumberFormat="1">
      <alignment horizontal="center" readingOrder="0" shrinkToFit="0" vertical="center" wrapText="0"/>
    </xf>
    <xf borderId="39" fillId="3" fontId="1" numFmtId="0" xfId="0" applyAlignment="1" applyBorder="1" applyFont="1">
      <alignment horizontal="left" readingOrder="0" shrinkToFit="0" vertical="center" wrapText="0"/>
    </xf>
    <xf borderId="40" fillId="3" fontId="7" numFmtId="0" xfId="0" applyAlignment="1" applyBorder="1" applyFont="1">
      <alignment horizontal="left" vertical="center"/>
    </xf>
    <xf borderId="41" fillId="3" fontId="7" numFmtId="0" xfId="0" applyAlignment="1" applyBorder="1" applyFont="1">
      <alignment horizontal="left" vertical="center"/>
    </xf>
    <xf borderId="42" fillId="3" fontId="7" numFmtId="0" xfId="0" applyAlignment="1" applyBorder="1" applyFont="1">
      <alignment horizontal="left" vertical="center"/>
    </xf>
    <xf borderId="43" fillId="0" fontId="3" numFmtId="0" xfId="0" applyAlignment="1" applyBorder="1" applyFont="1">
      <alignment horizontal="left" shrinkToFit="0" vertical="center" wrapText="0"/>
    </xf>
    <xf borderId="44" fillId="0" fontId="3" numFmtId="0" xfId="0" applyAlignment="1" applyBorder="1" applyFont="1">
      <alignment horizontal="left" shrinkToFit="0" vertical="center" wrapText="0"/>
    </xf>
    <xf borderId="44" fillId="0" fontId="3" numFmtId="20" xfId="0" applyAlignment="1" applyBorder="1" applyFont="1" applyNumberFormat="1">
      <alignment horizontal="center" shrinkToFit="0" vertical="center" wrapText="0"/>
    </xf>
    <xf borderId="44" fillId="0" fontId="3" numFmtId="1" xfId="0" applyAlignment="1" applyBorder="1" applyFont="1" applyNumberFormat="1">
      <alignment horizontal="center" shrinkToFit="0" vertical="center" wrapText="0"/>
    </xf>
    <xf borderId="44" fillId="0" fontId="3" numFmtId="20" xfId="0" applyAlignment="1" applyBorder="1" applyFont="1" applyNumberFormat="1">
      <alignment horizontal="left" shrinkToFit="0" vertical="center" wrapText="0"/>
    </xf>
    <xf borderId="45" fillId="0" fontId="3" numFmtId="0" xfId="0" applyAlignment="1" applyBorder="1" applyFont="1">
      <alignment horizontal="left" shrinkToFit="0" vertical="center" wrapText="0"/>
    </xf>
    <xf borderId="46" fillId="4" fontId="3" numFmtId="0" xfId="0" applyAlignment="1" applyBorder="1" applyFill="1" applyFont="1">
      <alignment horizontal="left" vertical="center"/>
    </xf>
    <xf borderId="47" fillId="4" fontId="3" numFmtId="20" xfId="0" applyAlignment="1" applyBorder="1" applyFont="1" applyNumberFormat="1">
      <alignment horizontal="left" vertical="center"/>
    </xf>
    <xf borderId="48" fillId="4" fontId="3" numFmtId="0" xfId="0" applyAlignment="1" applyBorder="1" applyFont="1">
      <alignment horizontal="left" vertical="center"/>
    </xf>
    <xf borderId="49" fillId="0" fontId="3" numFmtId="0" xfId="0" applyAlignment="1" applyBorder="1" applyFont="1">
      <alignment horizontal="left" vertical="center"/>
    </xf>
    <xf borderId="44" fillId="0" fontId="3" numFmtId="20" xfId="0" applyAlignment="1" applyBorder="1" applyFont="1" applyNumberFormat="1">
      <alignment horizontal="left" vertical="center"/>
    </xf>
    <xf borderId="50" fillId="0" fontId="3" numFmtId="0" xfId="0" applyAlignment="1" applyBorder="1" applyFont="1">
      <alignment horizontal="left" vertical="center"/>
    </xf>
    <xf borderId="23" fillId="0" fontId="3" numFmtId="0" xfId="0" applyAlignment="1" applyBorder="1" applyFont="1">
      <alignment horizontal="left" vertical="center"/>
    </xf>
    <xf borderId="51" fillId="0" fontId="3" numFmtId="20" xfId="0" applyAlignment="1" applyBorder="1" applyFont="1" applyNumberFormat="1">
      <alignment horizontal="left" vertical="center"/>
    </xf>
    <xf borderId="52" fillId="0" fontId="3" numFmtId="0" xfId="0" applyAlignment="1" applyBorder="1" applyFont="1">
      <alignment horizontal="left" vertical="center"/>
    </xf>
    <xf borderId="0" fillId="0" fontId="3" numFmtId="1" xfId="0" applyAlignment="1" applyFont="1" applyNumberFormat="1">
      <alignment horizontal="center" vertical="center"/>
    </xf>
    <xf borderId="53" fillId="3" fontId="1" numFmtId="0" xfId="0" applyAlignment="1" applyBorder="1" applyFont="1">
      <alignment horizontal="left" readingOrder="0" shrinkToFit="0" vertical="center" wrapText="0"/>
    </xf>
    <xf borderId="3" fillId="3" fontId="1" numFmtId="0" xfId="0" applyAlignment="1" applyBorder="1" applyFont="1">
      <alignment horizontal="left" readingOrder="0" shrinkToFit="0" vertical="center" wrapText="0"/>
    </xf>
    <xf borderId="38" fillId="3" fontId="7" numFmtId="0" xfId="0" applyAlignment="1" applyBorder="1" applyFont="1">
      <alignment horizontal="center" vertical="center"/>
    </xf>
    <xf borderId="54" fillId="0" fontId="3" numFmtId="0" xfId="0" applyAlignment="1" applyBorder="1" applyFont="1">
      <alignment horizontal="left" shrinkToFit="0" vertical="center" wrapText="0"/>
    </xf>
    <xf borderId="55" fillId="5" fontId="9" numFmtId="164" xfId="0" applyAlignment="1" applyBorder="1" applyFill="1" applyFont="1" applyNumberFormat="1">
      <alignment horizontal="center" shrinkToFit="0" vertical="center" wrapText="0"/>
    </xf>
    <xf borderId="56" fillId="0" fontId="3" numFmtId="9" xfId="0" applyAlignment="1" applyBorder="1" applyFont="1" applyNumberFormat="1">
      <alignment horizontal="right" shrinkToFit="0" vertical="center" wrapText="0"/>
    </xf>
    <xf borderId="57" fillId="0" fontId="3" numFmtId="165" xfId="0" applyAlignment="1" applyBorder="1" applyFont="1" applyNumberFormat="1">
      <alignment horizontal="right" shrinkToFit="0" vertical="center" wrapText="0"/>
    </xf>
    <xf borderId="55" fillId="6" fontId="3" numFmtId="164" xfId="0" applyAlignment="1" applyBorder="1" applyFill="1" applyFont="1" applyNumberFormat="1">
      <alignment horizontal="center" vertical="center"/>
    </xf>
    <xf borderId="58" fillId="0" fontId="3" numFmtId="165" xfId="0" applyAlignment="1" applyBorder="1" applyFont="1" applyNumberFormat="1">
      <alignment horizontal="center" vertical="center"/>
    </xf>
    <xf borderId="59" fillId="0" fontId="3" numFmtId="0" xfId="0" applyAlignment="1" applyBorder="1" applyFont="1">
      <alignment horizontal="center" vertical="center"/>
    </xf>
    <xf borderId="58" fillId="0" fontId="3" numFmtId="0" xfId="0" applyAlignment="1" applyBorder="1" applyFont="1">
      <alignment horizontal="center" vertical="center"/>
    </xf>
    <xf borderId="60" fillId="0" fontId="3" numFmtId="0" xfId="0" applyAlignment="1" applyBorder="1" applyFont="1">
      <alignment horizontal="left" shrinkToFit="0" vertical="center" wrapText="0"/>
    </xf>
    <xf borderId="61" fillId="0" fontId="3" numFmtId="9" xfId="0" applyAlignment="1" applyBorder="1" applyFont="1" applyNumberFormat="1">
      <alignment horizontal="right" shrinkToFit="0" vertical="center" wrapText="0"/>
    </xf>
    <xf borderId="62" fillId="0" fontId="3" numFmtId="165" xfId="0" applyAlignment="1" applyBorder="1" applyFont="1" applyNumberFormat="1">
      <alignment horizontal="right" shrinkToFit="0" vertical="center" wrapText="0"/>
    </xf>
    <xf borderId="63" fillId="0" fontId="3" numFmtId="165" xfId="0" applyAlignment="1" applyBorder="1" applyFont="1" applyNumberFormat="1">
      <alignment horizontal="center" vertical="center"/>
    </xf>
    <xf borderId="64" fillId="0" fontId="3" numFmtId="0" xfId="0" applyAlignment="1" applyBorder="1" applyFont="1">
      <alignment horizontal="center" vertical="center"/>
    </xf>
    <xf borderId="63" fillId="0" fontId="3" numFmtId="0" xfId="0" applyAlignment="1" applyBorder="1" applyFont="1">
      <alignment horizontal="center" vertical="center"/>
    </xf>
    <xf borderId="64" fillId="0" fontId="3" numFmtId="0" xfId="0" applyAlignment="1" applyBorder="1" applyFont="1">
      <alignment horizontal="left" shrinkToFit="0" vertical="center" wrapText="0"/>
    </xf>
    <xf borderId="62" fillId="0" fontId="3" numFmtId="9" xfId="0" applyAlignment="1" applyBorder="1" applyFont="1" applyNumberFormat="1">
      <alignment horizontal="right" shrinkToFit="0" vertical="center" wrapText="0"/>
    </xf>
    <xf borderId="65" fillId="0" fontId="3" numFmtId="0" xfId="0" applyAlignment="1" applyBorder="1" applyFont="1">
      <alignment horizontal="left" shrinkToFit="0" vertical="center" wrapText="0"/>
    </xf>
    <xf borderId="66" fillId="0" fontId="3" numFmtId="9" xfId="0" applyAlignment="1" applyBorder="1" applyFont="1" applyNumberFormat="1">
      <alignment horizontal="right" shrinkToFit="0" vertical="center" wrapText="0"/>
    </xf>
    <xf borderId="66" fillId="0" fontId="3" numFmtId="165" xfId="0" applyAlignment="1" applyBorder="1" applyFont="1" applyNumberFormat="1">
      <alignment horizontal="right" shrinkToFit="0" vertical="center" wrapText="0"/>
    </xf>
    <xf borderId="67" fillId="0" fontId="3" numFmtId="165" xfId="0" applyAlignment="1" applyBorder="1" applyFont="1" applyNumberFormat="1">
      <alignment horizontal="center" vertical="center"/>
    </xf>
    <xf borderId="68" fillId="7" fontId="3" numFmtId="0" xfId="0" applyAlignment="1" applyBorder="1" applyFill="1" applyFont="1">
      <alignment horizontal="left" shrinkToFit="0" vertical="center" wrapText="0"/>
    </xf>
    <xf borderId="64" fillId="0" fontId="3" numFmtId="9" xfId="0" applyAlignment="1" applyBorder="1" applyFont="1" applyNumberFormat="1">
      <alignment horizontal="right" shrinkToFit="0" vertical="center" wrapText="0"/>
    </xf>
    <xf borderId="69" fillId="7" fontId="3" numFmtId="0" xfId="0" applyAlignment="1" applyBorder="1" applyFont="1">
      <alignment horizontal="left" shrinkToFit="0" vertical="center" wrapText="0"/>
    </xf>
    <xf borderId="70" fillId="0" fontId="3" numFmtId="9" xfId="0" applyAlignment="1" applyBorder="1" applyFont="1" applyNumberFormat="1">
      <alignment horizontal="right" shrinkToFit="0" vertical="center" wrapText="0"/>
    </xf>
    <xf borderId="71" fillId="0" fontId="3" numFmtId="165" xfId="0" applyAlignment="1" applyBorder="1" applyFont="1" applyNumberFormat="1">
      <alignment horizontal="right" shrinkToFit="0" vertical="center" wrapText="0"/>
    </xf>
    <xf borderId="72" fillId="0" fontId="3" numFmtId="165" xfId="0" applyAlignment="1" applyBorder="1" applyFont="1" applyNumberFormat="1">
      <alignment horizontal="center" vertical="center"/>
    </xf>
    <xf borderId="70" fillId="0" fontId="3" numFmtId="0" xfId="0" applyAlignment="1" applyBorder="1" applyFont="1">
      <alignment horizontal="center" vertical="center"/>
    </xf>
    <xf borderId="72" fillId="0" fontId="3" numFmtId="0" xfId="0" applyAlignment="1" applyBorder="1" applyFont="1">
      <alignment horizontal="center" vertical="center"/>
    </xf>
    <xf borderId="73" fillId="6" fontId="1" numFmtId="0" xfId="0" applyAlignment="1" applyBorder="1" applyFont="1">
      <alignment horizontal="left" vertical="center"/>
    </xf>
    <xf borderId="74" fillId="6" fontId="1" numFmtId="165" xfId="0" applyAlignment="1" applyBorder="1" applyFont="1" applyNumberFormat="1">
      <alignment horizontal="right" vertical="center"/>
    </xf>
    <xf borderId="75" fillId="0" fontId="1" numFmtId="165" xfId="0" applyAlignment="1" applyBorder="1" applyFont="1" applyNumberFormat="1">
      <alignment horizontal="right" vertical="center"/>
    </xf>
    <xf borderId="28" fillId="0" fontId="1" numFmtId="165" xfId="0" applyAlignment="1" applyBorder="1" applyFont="1" applyNumberFormat="1">
      <alignment horizontal="right" vertical="center"/>
    </xf>
    <xf borderId="3" fillId="8" fontId="1" numFmtId="0" xfId="0" applyAlignment="1" applyBorder="1" applyFill="1" applyFont="1">
      <alignment horizontal="left" vertical="center"/>
    </xf>
    <xf borderId="3" fillId="8" fontId="1" numFmtId="165" xfId="0" applyAlignment="1" applyBorder="1" applyFont="1" applyNumberFormat="1">
      <alignment horizontal="right" vertical="center"/>
    </xf>
    <xf borderId="38" fillId="3" fontId="1" numFmtId="14" xfId="0" applyAlignment="1" applyBorder="1" applyFont="1" applyNumberFormat="1">
      <alignment horizontal="center" readingOrder="0" shrinkToFit="0" vertical="center" wrapText="0"/>
    </xf>
    <xf borderId="0" fillId="0" fontId="10" numFmtId="0" xfId="0" applyAlignment="1" applyFont="1">
      <alignment horizontal="left" shrinkToFit="0" vertical="center" wrapText="1"/>
    </xf>
    <xf borderId="0" fillId="0" fontId="10" numFmtId="14" xfId="0" applyAlignment="1" applyFont="1" applyNumberFormat="1">
      <alignment horizontal="center" shrinkToFit="0" vertical="center" wrapText="0"/>
    </xf>
    <xf borderId="0" fillId="0" fontId="3" numFmtId="14" xfId="0" applyAlignment="1" applyFont="1" applyNumberFormat="1">
      <alignment horizontal="left" vertical="center"/>
    </xf>
    <xf borderId="1" fillId="0" fontId="1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12" fillId="0" fontId="3" numFmtId="0" xfId="0" applyAlignment="1" applyBorder="1" applyFont="1">
      <alignment horizontal="center" vertical="center"/>
    </xf>
    <xf borderId="14" fillId="0" fontId="2" numFmtId="0" xfId="0" applyBorder="1" applyFont="1"/>
    <xf borderId="76" fillId="0" fontId="2" numFmtId="0" xfId="0" applyBorder="1" applyFont="1"/>
    <xf borderId="0" fillId="0" fontId="3" numFmtId="164" xfId="0" applyAlignment="1" applyFont="1" applyNumberFormat="1">
      <alignment horizontal="left" vertical="center"/>
    </xf>
    <xf borderId="77" fillId="0" fontId="1" numFmtId="0" xfId="0" applyAlignment="1" applyBorder="1" applyFont="1">
      <alignment horizontal="left" vertical="center"/>
    </xf>
    <xf borderId="4" fillId="2" fontId="5" numFmtId="0" xfId="0" applyAlignment="1" applyBorder="1" applyFont="1">
      <alignment horizontal="center" vertical="center"/>
    </xf>
    <xf borderId="78" fillId="9" fontId="11" numFmtId="0" xfId="0" applyAlignment="1" applyBorder="1" applyFill="1" applyFont="1">
      <alignment horizontal="center" vertical="center"/>
    </xf>
    <xf borderId="79" fillId="0" fontId="1" numFmtId="0" xfId="0" applyAlignment="1" applyBorder="1" applyFont="1">
      <alignment horizontal="left" vertical="center"/>
    </xf>
    <xf borderId="3" fillId="10" fontId="3" numFmtId="164" xfId="0" applyAlignment="1" applyBorder="1" applyFill="1" applyFont="1" applyNumberFormat="1">
      <alignment horizontal="right" vertical="center"/>
    </xf>
    <xf borderId="3" fillId="11" fontId="3" numFmtId="164" xfId="0" applyAlignment="1" applyBorder="1" applyFill="1" applyFont="1" applyNumberFormat="1">
      <alignment horizontal="right" vertical="center"/>
    </xf>
    <xf borderId="4" fillId="12" fontId="12" numFmtId="14" xfId="0" applyAlignment="1" applyBorder="1" applyFill="1" applyFont="1" applyNumberFormat="1">
      <alignment horizontal="left" vertical="center"/>
    </xf>
    <xf borderId="0" fillId="0" fontId="3" numFmtId="0" xfId="0" applyAlignment="1" applyFont="1">
      <alignment horizontal="center" vertical="center"/>
    </xf>
    <xf borderId="80" fillId="0" fontId="1" numFmtId="0" xfId="0" applyAlignment="1" applyBorder="1" applyFont="1">
      <alignment horizontal="left" vertical="center"/>
    </xf>
    <xf borderId="81" fillId="2" fontId="5" numFmtId="0" xfId="0" applyAlignment="1" applyBorder="1" applyFont="1">
      <alignment horizontal="center" vertical="center"/>
    </xf>
    <xf borderId="82" fillId="0" fontId="2" numFmtId="0" xfId="0" applyBorder="1" applyFont="1"/>
    <xf borderId="12" fillId="0" fontId="3" numFmtId="164" xfId="0" applyAlignment="1" applyBorder="1" applyFont="1" applyNumberFormat="1">
      <alignment horizontal="center" vertical="center"/>
    </xf>
    <xf borderId="83" fillId="0" fontId="1" numFmtId="0" xfId="0" applyAlignment="1" applyBorder="1" applyFont="1">
      <alignment horizontal="left" vertical="center"/>
    </xf>
    <xf borderId="84" fillId="0" fontId="4" numFmtId="164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left" vertical="center"/>
    </xf>
    <xf borderId="85" fillId="12" fontId="1" numFmtId="0" xfId="0" applyAlignment="1" applyBorder="1" applyFont="1">
      <alignment horizontal="left" vertical="center"/>
    </xf>
    <xf borderId="86" fillId="5" fontId="6" numFmtId="14" xfId="0" applyAlignment="1" applyBorder="1" applyFont="1" applyNumberFormat="1">
      <alignment horizontal="center" vertical="center"/>
    </xf>
    <xf borderId="87" fillId="0" fontId="2" numFmtId="0" xfId="0" applyBorder="1" applyFont="1"/>
    <xf borderId="4" fillId="0" fontId="12" numFmtId="14" xfId="0" applyAlignment="1" applyBorder="1" applyFont="1" applyNumberFormat="1">
      <alignment horizontal="left" vertical="center"/>
    </xf>
    <xf borderId="12" fillId="13" fontId="4" numFmtId="14" xfId="0" applyAlignment="1" applyBorder="1" applyFill="1" applyFont="1" applyNumberFormat="1">
      <alignment horizontal="center" vertical="center"/>
    </xf>
    <xf borderId="0" fillId="0" fontId="4" numFmtId="164" xfId="0" applyAlignment="1" applyFont="1" applyNumberFormat="1">
      <alignment horizontal="left" vertical="center"/>
    </xf>
    <xf borderId="88" fillId="5" fontId="6" numFmtId="14" xfId="0" applyAlignment="1" applyBorder="1" applyFont="1" applyNumberFormat="1">
      <alignment horizontal="center" vertical="center"/>
    </xf>
    <xf borderId="12" fillId="14" fontId="13" numFmtId="0" xfId="0" applyAlignment="1" applyBorder="1" applyFill="1" applyFont="1">
      <alignment horizontal="center" vertical="center"/>
    </xf>
    <xf borderId="8" fillId="0" fontId="2" numFmtId="0" xfId="0" applyBorder="1" applyFont="1"/>
    <xf borderId="13" fillId="0" fontId="12" numFmtId="0" xfId="0" applyAlignment="1" applyBorder="1" applyFont="1">
      <alignment horizontal="left" vertical="center"/>
    </xf>
    <xf borderId="12" fillId="0" fontId="4" numFmtId="0" xfId="0" applyAlignment="1" applyBorder="1" applyFont="1">
      <alignment horizontal="center" vertical="center"/>
    </xf>
    <xf borderId="89" fillId="15" fontId="12" numFmtId="0" xfId="0" applyAlignment="1" applyBorder="1" applyFill="1" applyFont="1">
      <alignment horizontal="left" vertical="center"/>
    </xf>
    <xf borderId="36" fillId="15" fontId="12" numFmtId="0" xfId="0" applyAlignment="1" applyBorder="1" applyFont="1">
      <alignment horizontal="center" vertical="center"/>
    </xf>
    <xf borderId="31" fillId="15" fontId="12" numFmtId="0" xfId="0" applyAlignment="1" applyBorder="1" applyFont="1">
      <alignment horizontal="center" vertical="center"/>
    </xf>
    <xf borderId="32" fillId="15" fontId="12" numFmtId="0" xfId="0" applyAlignment="1" applyBorder="1" applyFont="1">
      <alignment horizontal="center" vertical="center"/>
    </xf>
    <xf borderId="90" fillId="0" fontId="4" numFmtId="0" xfId="0" applyAlignment="1" applyBorder="1" applyFont="1">
      <alignment horizontal="center" vertical="center"/>
    </xf>
    <xf borderId="7" fillId="6" fontId="4" numFmtId="0" xfId="0" applyAlignment="1" applyBorder="1" applyFont="1">
      <alignment horizontal="center" vertical="center"/>
    </xf>
    <xf borderId="31" fillId="0" fontId="4" numFmtId="0" xfId="0" applyAlignment="1" applyBorder="1" applyFont="1">
      <alignment horizontal="center" vertical="center"/>
    </xf>
    <xf borderId="35" fillId="0" fontId="4" numFmtId="0" xfId="0" applyAlignment="1" applyBorder="1" applyFont="1">
      <alignment horizontal="center" vertical="center"/>
    </xf>
    <xf borderId="91" fillId="0" fontId="4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left" vertical="center"/>
    </xf>
    <xf borderId="85" fillId="16" fontId="4" numFmtId="0" xfId="0" applyAlignment="1" applyBorder="1" applyFill="1" applyFont="1">
      <alignment horizontal="left" vertical="center"/>
    </xf>
    <xf borderId="23" fillId="0" fontId="4" numFmtId="166" xfId="0" applyAlignment="1" applyBorder="1" applyFont="1" applyNumberFormat="1">
      <alignment horizontal="right" vertical="center"/>
    </xf>
    <xf borderId="51" fillId="0" fontId="4" numFmtId="164" xfId="0" applyAlignment="1" applyBorder="1" applyFont="1" applyNumberFormat="1">
      <alignment horizontal="right" vertical="center"/>
    </xf>
    <xf borderId="51" fillId="0" fontId="4" numFmtId="164" xfId="0" applyAlignment="1" applyBorder="1" applyFont="1" applyNumberFormat="1">
      <alignment horizontal="right" vertical="center"/>
    </xf>
    <xf borderId="38" fillId="17" fontId="4" numFmtId="165" xfId="0" applyAlignment="1" applyBorder="1" applyFill="1" applyFont="1" applyNumberFormat="1">
      <alignment horizontal="center" vertical="center"/>
    </xf>
    <xf borderId="92" fillId="17" fontId="4" numFmtId="0" xfId="0" applyAlignment="1" applyBorder="1" applyFont="1">
      <alignment horizontal="center" vertical="center"/>
    </xf>
    <xf borderId="93" fillId="6" fontId="14" numFmtId="0" xfId="0" applyAlignment="1" applyBorder="1" applyFont="1">
      <alignment horizontal="center" vertical="center"/>
    </xf>
    <xf borderId="94" fillId="0" fontId="14" numFmtId="164" xfId="0" applyAlignment="1" applyBorder="1" applyFont="1" applyNumberFormat="1">
      <alignment horizontal="center" vertical="center"/>
    </xf>
    <xf borderId="51" fillId="0" fontId="14" numFmtId="0" xfId="0" applyAlignment="1" applyBorder="1" applyFont="1">
      <alignment horizontal="center" vertical="center"/>
    </xf>
    <xf borderId="53" fillId="11" fontId="14" numFmtId="167" xfId="0" applyAlignment="1" applyBorder="1" applyFont="1" applyNumberFormat="1">
      <alignment horizontal="center" vertical="center"/>
    </xf>
    <xf borderId="79" fillId="6" fontId="14" numFmtId="0" xfId="0" applyAlignment="1" applyBorder="1" applyFont="1">
      <alignment horizontal="center" vertical="center"/>
    </xf>
    <xf quotePrefix="1" borderId="94" fillId="0" fontId="14" numFmtId="0" xfId="0" applyAlignment="1" applyBorder="1" applyFont="1">
      <alignment horizontal="center" vertical="center"/>
    </xf>
    <xf borderId="53" fillId="11" fontId="14" numFmtId="0" xfId="0" applyAlignment="1" applyBorder="1" applyFont="1">
      <alignment horizontal="center" vertical="center"/>
    </xf>
    <xf borderId="94" fillId="0" fontId="14" numFmtId="0" xfId="0" applyAlignment="1" applyBorder="1" applyFont="1">
      <alignment horizontal="center" vertical="center"/>
    </xf>
    <xf borderId="93" fillId="6" fontId="14" numFmtId="0" xfId="0" applyAlignment="1" applyBorder="1" applyFont="1">
      <alignment horizontal="center" readingOrder="0" vertical="center"/>
    </xf>
    <xf borderId="94" fillId="0" fontId="14" numFmtId="164" xfId="0" applyAlignment="1" applyBorder="1" applyFont="1" applyNumberFormat="1">
      <alignment horizontal="center" vertical="center"/>
    </xf>
    <xf borderId="51" fillId="0" fontId="14" numFmtId="0" xfId="0" applyAlignment="1" applyBorder="1" applyFont="1">
      <alignment horizontal="center" readingOrder="0" vertical="center"/>
    </xf>
    <xf borderId="95" fillId="11" fontId="14" numFmtId="167" xfId="0" applyAlignment="1" applyBorder="1" applyFont="1" applyNumberFormat="1">
      <alignment horizontal="center" vertical="center"/>
    </xf>
    <xf borderId="15" fillId="0" fontId="4" numFmtId="164" xfId="0" applyAlignment="1" applyBorder="1" applyFont="1" applyNumberFormat="1">
      <alignment horizontal="right" vertical="center"/>
    </xf>
    <xf borderId="15" fillId="17" fontId="4" numFmtId="165" xfId="0" applyAlignment="1" applyBorder="1" applyFont="1" applyNumberFormat="1">
      <alignment horizontal="center" vertical="center"/>
    </xf>
    <xf borderId="16" fillId="17" fontId="4" numFmtId="0" xfId="0" applyAlignment="1" applyBorder="1" applyFont="1">
      <alignment horizontal="center" vertical="center"/>
    </xf>
    <xf borderId="79" fillId="6" fontId="14" numFmtId="0" xfId="0" applyAlignment="1" applyBorder="1" applyFont="1">
      <alignment horizontal="center" readingOrder="0" vertical="center"/>
    </xf>
    <xf borderId="85" fillId="18" fontId="4" numFmtId="0" xfId="0" applyAlignment="1" applyBorder="1" applyFill="1" applyFont="1">
      <alignment horizontal="left" vertical="center"/>
    </xf>
    <xf borderId="96" fillId="18" fontId="4" numFmtId="0" xfId="0" applyAlignment="1" applyBorder="1" applyFont="1">
      <alignment horizontal="left" vertical="center"/>
    </xf>
    <xf borderId="36" fillId="0" fontId="4" numFmtId="166" xfId="0" applyAlignment="1" applyBorder="1" applyFont="1" applyNumberFormat="1">
      <alignment horizontal="right" vertical="center"/>
    </xf>
    <xf borderId="31" fillId="0" fontId="4" numFmtId="164" xfId="0" applyAlignment="1" applyBorder="1" applyFont="1" applyNumberFormat="1">
      <alignment horizontal="right" vertical="center"/>
    </xf>
    <xf borderId="31" fillId="0" fontId="4" numFmtId="164" xfId="0" applyAlignment="1" applyBorder="1" applyFont="1" applyNumberFormat="1">
      <alignment horizontal="right" vertical="center"/>
    </xf>
    <xf borderId="31" fillId="17" fontId="4" numFmtId="165" xfId="0" applyAlignment="1" applyBorder="1" applyFont="1" applyNumberFormat="1">
      <alignment horizontal="center" vertical="center"/>
    </xf>
    <xf borderId="32" fillId="17" fontId="4" numFmtId="0" xfId="0" applyAlignment="1" applyBorder="1" applyFont="1">
      <alignment horizontal="center" vertical="center"/>
    </xf>
    <xf borderId="97" fillId="19" fontId="12" numFmtId="0" xfId="0" applyAlignment="1" applyBorder="1" applyFill="1" applyFont="1">
      <alignment horizontal="left" vertical="center"/>
    </xf>
    <xf borderId="98" fillId="0" fontId="2" numFmtId="0" xfId="0" applyBorder="1" applyFont="1"/>
    <xf borderId="99" fillId="19" fontId="3" numFmtId="0" xfId="0" applyAlignment="1" applyBorder="1" applyFont="1">
      <alignment horizontal="center" vertical="center"/>
    </xf>
    <xf borderId="100" fillId="19" fontId="3" numFmtId="164" xfId="0" applyAlignment="1" applyBorder="1" applyFont="1" applyNumberFormat="1">
      <alignment horizontal="center" vertical="center"/>
    </xf>
    <xf borderId="101" fillId="19" fontId="3" numFmtId="0" xfId="0" applyAlignment="1" applyBorder="1" applyFont="1">
      <alignment horizontal="center" vertical="center"/>
    </xf>
    <xf borderId="102" fillId="19" fontId="3" numFmtId="167" xfId="0" applyAlignment="1" applyBorder="1" applyFont="1" applyNumberFormat="1">
      <alignment horizontal="center" vertical="center"/>
    </xf>
    <xf borderId="103" fillId="0" fontId="1" numFmtId="0" xfId="0" applyAlignment="1" applyBorder="1" applyFont="1">
      <alignment horizontal="left" vertical="center"/>
    </xf>
    <xf borderId="103" fillId="0" fontId="1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2" fillId="17" fontId="12" numFmtId="0" xfId="0" applyAlignment="1" applyBorder="1" applyFont="1">
      <alignment horizontal="left" vertical="center"/>
    </xf>
    <xf borderId="12" fillId="17" fontId="3" numFmtId="164" xfId="0" applyAlignment="1" applyBorder="1" applyFont="1" applyNumberFormat="1">
      <alignment horizontal="center" vertical="center"/>
    </xf>
    <xf borderId="104" fillId="20" fontId="15" numFmtId="164" xfId="0" applyAlignment="1" applyBorder="1" applyFill="1" applyFont="1" applyNumberFormat="1">
      <alignment horizontal="left" vertical="center"/>
    </xf>
    <xf borderId="0" fillId="0" fontId="6" numFmtId="0" xfId="0" applyAlignment="1" applyFont="1">
      <alignment horizontal="center" vertical="center"/>
    </xf>
    <xf borderId="0" fillId="0" fontId="5" numFmtId="165" xfId="0" applyAlignment="1" applyFont="1" applyNumberFormat="1">
      <alignment horizontal="center" vertical="center"/>
    </xf>
    <xf borderId="2" fillId="7" fontId="12" numFmtId="0" xfId="0" applyAlignment="1" applyBorder="1" applyFont="1">
      <alignment horizontal="left" vertical="center"/>
    </xf>
    <xf borderId="12" fillId="7" fontId="3" numFmtId="164" xfId="0" applyAlignment="1" applyBorder="1" applyFont="1" applyNumberFormat="1">
      <alignment horizontal="center" vertical="center"/>
    </xf>
    <xf borderId="0" fillId="0" fontId="6" numFmtId="165" xfId="0" applyAlignment="1" applyFont="1" applyNumberFormat="1">
      <alignment horizontal="center" vertical="center"/>
    </xf>
    <xf borderId="0" fillId="0" fontId="6" numFmtId="20" xfId="0" applyAlignment="1" applyFont="1" applyNumberFormat="1">
      <alignment horizontal="center" vertical="center"/>
    </xf>
    <xf borderId="103" fillId="0" fontId="3" numFmtId="164" xfId="0" applyAlignment="1" applyBorder="1" applyFont="1" applyNumberFormat="1">
      <alignment horizontal="left" vertical="center"/>
    </xf>
    <xf borderId="0" fillId="0" fontId="3" numFmtId="164" xfId="0" applyAlignment="1" applyFont="1" applyNumberFormat="1">
      <alignment horizontal="center" vertical="center"/>
    </xf>
    <xf borderId="2" fillId="19" fontId="12" numFmtId="0" xfId="0" applyAlignment="1" applyBorder="1" applyFont="1">
      <alignment horizontal="left" vertical="center"/>
    </xf>
    <xf borderId="12" fillId="19" fontId="3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vertical="center"/>
    </xf>
    <xf borderId="104" fillId="12" fontId="3" numFmtId="165" xfId="0" applyAlignment="1" applyBorder="1" applyFont="1" applyNumberFormat="1">
      <alignment horizontal="center" vertical="center"/>
    </xf>
    <xf borderId="104" fillId="12" fontId="3" numFmtId="0" xfId="0" applyAlignment="1" applyBorder="1" applyFont="1">
      <alignment horizontal="left" vertical="center"/>
    </xf>
    <xf borderId="104" fillId="12" fontId="3" numFmtId="0" xfId="0" applyAlignment="1" applyBorder="1" applyFont="1">
      <alignment vertical="center"/>
    </xf>
    <xf borderId="0" fillId="0" fontId="16" numFmtId="0" xfId="0" applyAlignment="1" applyFont="1">
      <alignment horizontal="left" vertical="center"/>
    </xf>
    <xf borderId="0" fillId="0" fontId="7" numFmtId="0" xfId="0" applyAlignment="1" applyFont="1">
      <alignment horizontal="left" vertical="center"/>
    </xf>
    <xf borderId="0" fillId="0" fontId="7" numFmtId="164" xfId="0" applyAlignment="1" applyFont="1" applyNumberFormat="1">
      <alignment horizontal="center" vertical="center"/>
    </xf>
    <xf borderId="44" fillId="0" fontId="3" numFmtId="164" xfId="0" applyAlignment="1" applyBorder="1" applyFont="1" applyNumberFormat="1">
      <alignment horizontal="center" shrinkToFit="0" vertical="center" wrapText="0"/>
    </xf>
    <xf borderId="45" fillId="0" fontId="3" numFmtId="164" xfId="0" applyAlignment="1" applyBorder="1" applyFont="1" applyNumberFormat="1">
      <alignment horizontal="center" shrinkToFit="0" vertical="center" wrapText="0"/>
    </xf>
    <xf borderId="45" fillId="0" fontId="17" numFmtId="164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18"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color theme="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>
        <color rgb="FF9C0006"/>
      </font>
      <fill>
        <patternFill patternType="solid">
          <fgColor rgb="FFFFD965"/>
          <bgColor rgb="FFFFD965"/>
        </patternFill>
      </fill>
      <border/>
    </dxf>
    <dxf>
      <font/>
      <fill>
        <patternFill patternType="solid">
          <fgColor rgb="FFADB9CA"/>
          <bgColor rgb="FFADB9CA"/>
        </patternFill>
      </fill>
      <border/>
    </dxf>
    <dxf>
      <font>
        <color theme="0"/>
      </font>
      <fill>
        <patternFill patternType="solid">
          <fgColor rgb="FFC00000"/>
          <bgColor rgb="FFC0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>
        <color theme="0"/>
      </font>
      <fill>
        <patternFill patternType="solid">
          <fgColor rgb="FF002060"/>
          <bgColor rgb="FF002060"/>
        </patternFill>
      </fill>
      <border/>
    </dxf>
    <dxf>
      <font>
        <color theme="0"/>
      </font>
      <fill>
        <patternFill patternType="solid">
          <fgColor theme="4"/>
          <bgColor theme="4"/>
        </patternFill>
      </fill>
      <border/>
    </dxf>
  </dxfs>
  <tableStyles count="4">
    <tableStyle count="4" pivot="0" name="Dienste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Lenker-style">
      <tableStyleElement dxfId="7" type="headerRow"/>
      <tableStyleElement dxfId="8" type="firstRowStripe"/>
      <tableStyleElement dxfId="8" type="secondRowStripe"/>
      <tableStyleElement dxfId="9" size="0" type="wholeTable"/>
    </tableStyle>
    <tableStyle count="4" pivot="0" name="Feiertage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Umläufe-style">
      <tableStyleElement dxfId="3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41" displayName="Table_1" name="Table_1" id="1">
  <tableColumns count="7">
    <tableColumn name="Linien / Dienst" id="1"/>
    <tableColumn name="Dienst-Nr." id="2"/>
    <tableColumn name="VAD [mS]" id="3"/>
    <tableColumn name="VAD [oS]" id="4"/>
    <tableColumn name="Diäten" id="5"/>
    <tableColumn name="Tag" id="6"/>
    <tableColumn name="KFZ-Ort" id="7"/>
  </tableColumns>
  <tableStyleInfo name="Dienste-style" showColumnStripes="0" showFirstColumn="1" showLastColumn="1" showRowStripes="1"/>
</table>
</file>

<file path=xl/tables/table2.xml><?xml version="1.0" encoding="utf-8"?>
<table xmlns="http://schemas.openxmlformats.org/spreadsheetml/2006/main" ref="A1:D22" displayName="Table_2" name="Table_2" id="2">
  <tableColumns count="4">
    <tableColumn name="Lenker" id="1"/>
    <tableColumn name="Soll-Std." id="2"/>
    <tableColumn name="B-Grad [%]" id="3"/>
    <tableColumn name="Feiertag" id="4"/>
  </tableColumns>
  <tableStyleInfo name="Lenker-style" showColumnStripes="0" showFirstColumn="1" showLastColumn="1" showRowStripes="1"/>
</table>
</file>

<file path=xl/tables/table3.xml><?xml version="1.0" encoding="utf-8"?>
<table xmlns="http://schemas.openxmlformats.org/spreadsheetml/2006/main" ref="A1:B14" displayName="Table_3" name="Table_3" id="3">
  <tableColumns count="2">
    <tableColumn name="Feiertag" id="1"/>
    <tableColumn name="Datum" id="2"/>
  </tableColumns>
  <tableStyleInfo name="Feiertage-style" showColumnStripes="0" showFirstColumn="1" showLastColumn="1" showRowStripes="1"/>
</table>
</file>

<file path=xl/tables/table4.xml><?xml version="1.0" encoding="utf-8"?>
<table xmlns="http://schemas.openxmlformats.org/spreadsheetml/2006/main" ref="A1:E24" displayName="Table_4" name="Table_4" id="4">
  <tableColumns count="5">
    <tableColumn name="Umlauf" id="1"/>
    <tableColumn name="MoFroS" id="2"/>
    <tableColumn name="Samstag" id="3"/>
    <tableColumn name="So. u. Fe." id="4"/>
    <tableColumn name="Gesamt" id="5"/>
  </tableColumns>
  <tableStyleInfo name="Umläuf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4.43" defaultRowHeight="15.0"/>
  <cols>
    <col customWidth="1" min="1" max="1" width="24.14"/>
    <col customWidth="1" min="2" max="5" width="13.71"/>
    <col customWidth="1" min="6" max="28" width="8.71"/>
    <col customWidth="1" min="29" max="31" width="11.43"/>
  </cols>
  <sheetData>
    <row r="1" ht="16.5" customHeight="1">
      <c r="A1" s="1" t="s">
        <v>0</v>
      </c>
      <c r="B1" s="2"/>
      <c r="C1" s="3"/>
      <c r="D1" s="3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16.5" customHeight="1">
      <c r="A2" s="5" t="s">
        <v>1</v>
      </c>
      <c r="B2" s="6"/>
      <c r="C2" s="3"/>
      <c r="D2" s="3"/>
      <c r="E2" s="7" t="s">
        <v>2</v>
      </c>
      <c r="F2" s="8">
        <f>175/24</f>
        <v>7.291666667</v>
      </c>
      <c r="G2" s="8">
        <f>251.08/24</f>
        <v>10.46166667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3"/>
      <c r="AD2" s="3"/>
      <c r="AE2" s="3"/>
    </row>
    <row r="3" ht="16.5" customHeight="1">
      <c r="A3" s="10" t="s">
        <v>3</v>
      </c>
      <c r="B3" s="11"/>
      <c r="C3" s="3"/>
      <c r="D3" s="3"/>
      <c r="E3" s="7" t="s">
        <v>4</v>
      </c>
      <c r="F3" s="12">
        <f>35/24</f>
        <v>1.458333333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3"/>
      <c r="AD3" s="3"/>
      <c r="AE3" s="3"/>
    </row>
    <row r="4" ht="16.5" customHeight="1">
      <c r="A4" s="13" t="s">
        <v>5</v>
      </c>
      <c r="B4" s="14"/>
      <c r="C4" s="3"/>
      <c r="D4" s="3"/>
      <c r="E4" s="7" t="s">
        <v>6</v>
      </c>
      <c r="F4" s="12">
        <v>0.0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3"/>
      <c r="AD4" s="3"/>
      <c r="AE4" s="3"/>
    </row>
    <row r="5" ht="16.5" customHeight="1">
      <c r="A5" s="15"/>
      <c r="B5" s="16"/>
      <c r="C5" s="3"/>
      <c r="D5" s="3"/>
      <c r="E5" s="7" t="s">
        <v>7</v>
      </c>
      <c r="F5" s="17">
        <f>SUM(F2:F3)</f>
        <v>8.75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4"/>
      <c r="AD5" s="4"/>
      <c r="AE5" s="4"/>
    </row>
    <row r="6" ht="16.5" customHeight="1">
      <c r="A6" s="3"/>
      <c r="B6" s="3"/>
      <c r="C6" s="3"/>
      <c r="D6" s="3"/>
      <c r="E6" s="18" t="s">
        <v>8</v>
      </c>
      <c r="F6" s="19">
        <v>2202.0</v>
      </c>
      <c r="G6" s="20">
        <v>2203.0</v>
      </c>
      <c r="H6" s="19">
        <v>2204.0</v>
      </c>
      <c r="I6" s="19">
        <v>2205.0</v>
      </c>
      <c r="J6" s="19">
        <v>2206.0</v>
      </c>
      <c r="K6" s="19">
        <v>2207.0</v>
      </c>
      <c r="L6" s="19">
        <v>2301.0</v>
      </c>
      <c r="M6" s="19">
        <v>2302.0</v>
      </c>
      <c r="N6" s="19">
        <v>2303.0</v>
      </c>
      <c r="O6" s="19">
        <v>2304.0</v>
      </c>
      <c r="P6" s="19">
        <v>2501.0</v>
      </c>
      <c r="Q6" s="19">
        <v>2502.0</v>
      </c>
      <c r="R6" s="19">
        <v>2503.0</v>
      </c>
      <c r="S6" s="19">
        <v>2504.0</v>
      </c>
      <c r="T6" s="19">
        <v>2601.0</v>
      </c>
      <c r="U6" s="19">
        <v>2602.0</v>
      </c>
      <c r="V6" s="19">
        <v>2801.0</v>
      </c>
      <c r="W6" s="19">
        <v>2802.0</v>
      </c>
      <c r="X6" s="19">
        <v>2201.0</v>
      </c>
      <c r="Y6" s="19">
        <v>2803.0</v>
      </c>
      <c r="Z6" s="19">
        <v>2804.0</v>
      </c>
      <c r="AA6" s="19">
        <v>2805.0</v>
      </c>
      <c r="AB6" s="19" t="s">
        <v>9</v>
      </c>
      <c r="AC6" s="3"/>
      <c r="AD6" s="3"/>
      <c r="AE6" s="3"/>
    </row>
    <row r="7" ht="16.5" customHeight="1">
      <c r="A7" s="21" t="s">
        <v>10</v>
      </c>
      <c r="B7" s="22" t="s">
        <v>11</v>
      </c>
      <c r="C7" s="23" t="s">
        <v>12</v>
      </c>
      <c r="D7" s="23" t="s">
        <v>13</v>
      </c>
      <c r="E7" s="24" t="s">
        <v>14</v>
      </c>
      <c r="F7" s="25"/>
      <c r="G7" s="26"/>
      <c r="H7" s="26"/>
      <c r="I7" s="27"/>
      <c r="J7" s="28"/>
      <c r="K7" s="26"/>
      <c r="L7" s="28"/>
      <c r="M7" s="26"/>
      <c r="N7" s="28"/>
      <c r="O7" s="26"/>
      <c r="P7" s="28"/>
      <c r="Q7" s="26"/>
      <c r="R7" s="28"/>
      <c r="S7" s="26"/>
      <c r="T7" s="28"/>
      <c r="U7" s="26"/>
      <c r="V7" s="28"/>
      <c r="W7" s="26"/>
      <c r="X7" s="28"/>
      <c r="Y7" s="26"/>
      <c r="Z7" s="26"/>
      <c r="AA7" s="28"/>
      <c r="AB7" s="26"/>
      <c r="AC7" s="29"/>
      <c r="AD7" s="29"/>
      <c r="AE7" s="29"/>
    </row>
    <row r="8" ht="16.5" customHeight="1">
      <c r="A8" s="30" t="s">
        <v>15</v>
      </c>
      <c r="B8" s="31" t="str">
        <f>VLOOKUP(A8,Lenker!$A$2:$B$22,2,FALSE)</f>
        <v>#N/A</v>
      </c>
      <c r="C8" s="32"/>
      <c r="D8" s="32"/>
      <c r="E8" s="33"/>
      <c r="F8" s="34"/>
      <c r="G8" s="35"/>
      <c r="H8" s="36"/>
      <c r="I8" s="37"/>
      <c r="J8" s="38"/>
      <c r="K8" s="36"/>
      <c r="L8" s="38"/>
      <c r="M8" s="36"/>
      <c r="N8" s="38"/>
      <c r="O8" s="36"/>
      <c r="P8" s="38"/>
      <c r="Q8" s="36"/>
      <c r="R8" s="38"/>
      <c r="S8" s="36"/>
      <c r="T8" s="38"/>
      <c r="U8" s="36"/>
      <c r="V8" s="38"/>
      <c r="W8" s="36"/>
      <c r="X8" s="38"/>
      <c r="Y8" s="36"/>
      <c r="Z8" s="36"/>
      <c r="AA8" s="38"/>
      <c r="AB8" s="36"/>
      <c r="AC8" s="3"/>
      <c r="AD8" s="3"/>
      <c r="AE8" s="3"/>
    </row>
    <row r="9" ht="16.5" customHeight="1">
      <c r="A9" s="39"/>
      <c r="B9" s="40"/>
      <c r="C9" s="32"/>
      <c r="D9" s="32"/>
      <c r="E9" s="33"/>
      <c r="F9" s="34"/>
      <c r="G9" s="35"/>
      <c r="H9" s="36"/>
      <c r="I9" s="37"/>
      <c r="J9" s="38"/>
      <c r="K9" s="36"/>
      <c r="L9" s="38"/>
      <c r="M9" s="36"/>
      <c r="N9" s="38"/>
      <c r="O9" s="36"/>
      <c r="P9" s="38"/>
      <c r="Q9" s="36"/>
      <c r="R9" s="38"/>
      <c r="S9" s="36"/>
      <c r="T9" s="38"/>
      <c r="U9" s="36"/>
      <c r="V9" s="38"/>
      <c r="W9" s="36"/>
      <c r="X9" s="38"/>
      <c r="Y9" s="36"/>
      <c r="Z9" s="36"/>
      <c r="AA9" s="38"/>
      <c r="AB9" s="36"/>
      <c r="AC9" s="3"/>
      <c r="AD9" s="3"/>
      <c r="AE9" s="3"/>
    </row>
    <row r="10" ht="16.5" customHeight="1">
      <c r="A10" s="30" t="s">
        <v>16</v>
      </c>
      <c r="B10" s="31" t="str">
        <f>VLOOKUP(A10,Lenker!$A$2:$B$22,2,FALSE)</f>
        <v>#N/A</v>
      </c>
      <c r="C10" s="32"/>
      <c r="D10" s="32"/>
      <c r="E10" s="33"/>
      <c r="F10" s="34"/>
      <c r="G10" s="35"/>
      <c r="H10" s="36"/>
      <c r="I10" s="37"/>
      <c r="J10" s="38"/>
      <c r="K10" s="36"/>
      <c r="L10" s="38"/>
      <c r="M10" s="36"/>
      <c r="N10" s="38"/>
      <c r="O10" s="36"/>
      <c r="P10" s="38"/>
      <c r="Q10" s="36"/>
      <c r="R10" s="38"/>
      <c r="S10" s="36"/>
      <c r="T10" s="38"/>
      <c r="U10" s="36"/>
      <c r="V10" s="38"/>
      <c r="W10" s="36"/>
      <c r="X10" s="38"/>
      <c r="Y10" s="36"/>
      <c r="Z10" s="36"/>
      <c r="AA10" s="38"/>
      <c r="AB10" s="36"/>
      <c r="AC10" s="3"/>
      <c r="AD10" s="3"/>
      <c r="AE10" s="3"/>
    </row>
    <row r="11" ht="16.5" customHeight="1">
      <c r="A11" s="39"/>
      <c r="B11" s="40"/>
      <c r="C11" s="32"/>
      <c r="D11" s="32"/>
      <c r="E11" s="33"/>
      <c r="F11" s="34"/>
      <c r="G11" s="35"/>
      <c r="H11" s="36"/>
      <c r="I11" s="37"/>
      <c r="J11" s="38"/>
      <c r="K11" s="36"/>
      <c r="L11" s="38"/>
      <c r="M11" s="36"/>
      <c r="N11" s="38"/>
      <c r="O11" s="36"/>
      <c r="P11" s="38"/>
      <c r="Q11" s="36"/>
      <c r="R11" s="38"/>
      <c r="S11" s="36"/>
      <c r="T11" s="38"/>
      <c r="U11" s="36"/>
      <c r="V11" s="38"/>
      <c r="W11" s="36"/>
      <c r="X11" s="38"/>
      <c r="Y11" s="36"/>
      <c r="Z11" s="36"/>
      <c r="AA11" s="38"/>
      <c r="AB11" s="36"/>
      <c r="AC11" s="3"/>
      <c r="AD11" s="3"/>
      <c r="AE11" s="3"/>
    </row>
    <row r="12" ht="16.5" customHeight="1">
      <c r="A12" s="30" t="s">
        <v>17</v>
      </c>
      <c r="B12" s="31" t="str">
        <f>VLOOKUP(A12,Lenker!$A$2:$B$22,2,FALSE)</f>
        <v>#N/A</v>
      </c>
      <c r="C12" s="32"/>
      <c r="D12" s="32"/>
      <c r="E12" s="33"/>
      <c r="F12" s="34"/>
      <c r="G12" s="35"/>
      <c r="H12" s="36"/>
      <c r="I12" s="37"/>
      <c r="J12" s="38"/>
      <c r="K12" s="36"/>
      <c r="L12" s="38"/>
      <c r="M12" s="36"/>
      <c r="N12" s="38"/>
      <c r="O12" s="36"/>
      <c r="P12" s="38"/>
      <c r="Q12" s="36"/>
      <c r="R12" s="38"/>
      <c r="S12" s="36"/>
      <c r="T12" s="38"/>
      <c r="U12" s="36"/>
      <c r="V12" s="38"/>
      <c r="W12" s="36"/>
      <c r="X12" s="38"/>
      <c r="Y12" s="36"/>
      <c r="Z12" s="36"/>
      <c r="AA12" s="38"/>
      <c r="AB12" s="36"/>
      <c r="AC12" s="3"/>
      <c r="AD12" s="3"/>
      <c r="AE12" s="3"/>
    </row>
    <row r="13" ht="16.5" customHeight="1">
      <c r="A13" s="39"/>
      <c r="B13" s="40"/>
      <c r="C13" s="32"/>
      <c r="D13" s="32"/>
      <c r="E13" s="33"/>
      <c r="F13" s="34"/>
      <c r="G13" s="35"/>
      <c r="H13" s="36"/>
      <c r="I13" s="37"/>
      <c r="J13" s="38"/>
      <c r="K13" s="36"/>
      <c r="L13" s="38"/>
      <c r="M13" s="36"/>
      <c r="N13" s="38"/>
      <c r="O13" s="36"/>
      <c r="P13" s="38"/>
      <c r="Q13" s="36"/>
      <c r="R13" s="38"/>
      <c r="S13" s="36"/>
      <c r="T13" s="38"/>
      <c r="U13" s="36"/>
      <c r="V13" s="38"/>
      <c r="W13" s="36"/>
      <c r="X13" s="38"/>
      <c r="Y13" s="36"/>
      <c r="Z13" s="36"/>
      <c r="AA13" s="38"/>
      <c r="AB13" s="36"/>
      <c r="AC13" s="3"/>
      <c r="AD13" s="3"/>
      <c r="AE13" s="3"/>
    </row>
    <row r="14" ht="16.5" customHeight="1">
      <c r="A14" s="30" t="s">
        <v>18</v>
      </c>
      <c r="B14" s="31" t="str">
        <f>VLOOKUP(A14,Lenker!$A$2:$B$22,2,FALSE)</f>
        <v>#N/A</v>
      </c>
      <c r="C14" s="32"/>
      <c r="D14" s="32"/>
      <c r="E14" s="33"/>
      <c r="F14" s="34"/>
      <c r="G14" s="35"/>
      <c r="H14" s="36"/>
      <c r="I14" s="37"/>
      <c r="J14" s="38"/>
      <c r="K14" s="36"/>
      <c r="L14" s="38"/>
      <c r="M14" s="36"/>
      <c r="N14" s="38"/>
      <c r="O14" s="36"/>
      <c r="P14" s="38"/>
      <c r="Q14" s="36"/>
      <c r="R14" s="38"/>
      <c r="S14" s="36"/>
      <c r="T14" s="38"/>
      <c r="U14" s="36"/>
      <c r="V14" s="38"/>
      <c r="W14" s="36"/>
      <c r="X14" s="38"/>
      <c r="Y14" s="36"/>
      <c r="Z14" s="36"/>
      <c r="AA14" s="38"/>
      <c r="AB14" s="36"/>
      <c r="AC14" s="3"/>
      <c r="AD14" s="3"/>
      <c r="AE14" s="3"/>
    </row>
    <row r="15" ht="16.5" customHeight="1">
      <c r="A15" s="39"/>
      <c r="B15" s="40"/>
      <c r="C15" s="32"/>
      <c r="D15" s="32"/>
      <c r="E15" s="33"/>
      <c r="F15" s="34"/>
      <c r="G15" s="35"/>
      <c r="H15" s="36"/>
      <c r="I15" s="37"/>
      <c r="J15" s="38"/>
      <c r="K15" s="36"/>
      <c r="L15" s="38"/>
      <c r="M15" s="36"/>
      <c r="N15" s="38"/>
      <c r="O15" s="36"/>
      <c r="P15" s="38"/>
      <c r="Q15" s="36"/>
      <c r="R15" s="38"/>
      <c r="S15" s="36"/>
      <c r="T15" s="38"/>
      <c r="U15" s="36"/>
      <c r="V15" s="38"/>
      <c r="W15" s="36"/>
      <c r="X15" s="38"/>
      <c r="Y15" s="36"/>
      <c r="Z15" s="36"/>
      <c r="AA15" s="38"/>
      <c r="AB15" s="36"/>
      <c r="AC15" s="3"/>
      <c r="AD15" s="3"/>
      <c r="AE15" s="3"/>
    </row>
    <row r="16" ht="16.5" customHeight="1">
      <c r="A16" s="30" t="s">
        <v>19</v>
      </c>
      <c r="B16" s="31" t="str">
        <f>VLOOKUP(A16,Lenker!$A$2:$B$22,2,FALSE)</f>
        <v>#N/A</v>
      </c>
      <c r="C16" s="32"/>
      <c r="D16" s="32"/>
      <c r="E16" s="33"/>
      <c r="F16" s="34"/>
      <c r="G16" s="35"/>
      <c r="H16" s="36"/>
      <c r="I16" s="37"/>
      <c r="J16" s="38"/>
      <c r="K16" s="36"/>
      <c r="L16" s="38"/>
      <c r="M16" s="36"/>
      <c r="N16" s="38"/>
      <c r="O16" s="36"/>
      <c r="P16" s="38"/>
      <c r="Q16" s="36"/>
      <c r="R16" s="38"/>
      <c r="S16" s="36"/>
      <c r="T16" s="38"/>
      <c r="U16" s="36"/>
      <c r="V16" s="38"/>
      <c r="W16" s="36"/>
      <c r="X16" s="38"/>
      <c r="Y16" s="36"/>
      <c r="Z16" s="36"/>
      <c r="AA16" s="38"/>
      <c r="AB16" s="36"/>
      <c r="AC16" s="3"/>
      <c r="AD16" s="3"/>
      <c r="AE16" s="3"/>
    </row>
    <row r="17" ht="16.5" customHeight="1">
      <c r="A17" s="39"/>
      <c r="B17" s="40"/>
      <c r="C17" s="32"/>
      <c r="D17" s="32"/>
      <c r="E17" s="33"/>
      <c r="F17" s="34"/>
      <c r="G17" s="35"/>
      <c r="H17" s="36"/>
      <c r="I17" s="37"/>
      <c r="J17" s="38"/>
      <c r="K17" s="36"/>
      <c r="L17" s="38"/>
      <c r="M17" s="36"/>
      <c r="N17" s="38"/>
      <c r="O17" s="36"/>
      <c r="P17" s="38"/>
      <c r="Q17" s="36"/>
      <c r="R17" s="38"/>
      <c r="S17" s="36"/>
      <c r="T17" s="38"/>
      <c r="U17" s="36"/>
      <c r="V17" s="38"/>
      <c r="W17" s="36"/>
      <c r="X17" s="38"/>
      <c r="Y17" s="36"/>
      <c r="Z17" s="36"/>
      <c r="AA17" s="38"/>
      <c r="AB17" s="36"/>
      <c r="AC17" s="3"/>
      <c r="AD17" s="3"/>
      <c r="AE17" s="3"/>
    </row>
    <row r="18" ht="16.5" customHeight="1">
      <c r="A18" s="30" t="s">
        <v>20</v>
      </c>
      <c r="B18" s="31" t="str">
        <f>VLOOKUP(A18,Lenker!$A$2:$B$22,2,FALSE)</f>
        <v>#N/A</v>
      </c>
      <c r="C18" s="32"/>
      <c r="D18" s="32"/>
      <c r="E18" s="33"/>
      <c r="F18" s="34"/>
      <c r="G18" s="35"/>
      <c r="H18" s="36"/>
      <c r="I18" s="37"/>
      <c r="J18" s="38"/>
      <c r="K18" s="36"/>
      <c r="L18" s="38"/>
      <c r="M18" s="36"/>
      <c r="N18" s="38"/>
      <c r="O18" s="36"/>
      <c r="P18" s="38"/>
      <c r="Q18" s="36"/>
      <c r="R18" s="38"/>
      <c r="S18" s="36"/>
      <c r="T18" s="38"/>
      <c r="U18" s="36"/>
      <c r="V18" s="38"/>
      <c r="W18" s="36"/>
      <c r="X18" s="38"/>
      <c r="Y18" s="36"/>
      <c r="Z18" s="36"/>
      <c r="AA18" s="38"/>
      <c r="AB18" s="36"/>
      <c r="AC18" s="3"/>
      <c r="AD18" s="3"/>
      <c r="AE18" s="3"/>
    </row>
    <row r="19" ht="16.5" customHeight="1">
      <c r="A19" s="39"/>
      <c r="B19" s="40"/>
      <c r="C19" s="32"/>
      <c r="D19" s="32"/>
      <c r="E19" s="33"/>
      <c r="F19" s="34"/>
      <c r="G19" s="35"/>
      <c r="H19" s="36"/>
      <c r="I19" s="37"/>
      <c r="J19" s="38"/>
      <c r="K19" s="36"/>
      <c r="L19" s="38"/>
      <c r="M19" s="36"/>
      <c r="N19" s="38"/>
      <c r="O19" s="36"/>
      <c r="P19" s="38"/>
      <c r="Q19" s="36"/>
      <c r="R19" s="38"/>
      <c r="S19" s="36"/>
      <c r="T19" s="38"/>
      <c r="U19" s="36"/>
      <c r="V19" s="38"/>
      <c r="W19" s="36"/>
      <c r="X19" s="38"/>
      <c r="Y19" s="36"/>
      <c r="Z19" s="36"/>
      <c r="AA19" s="38"/>
      <c r="AB19" s="36"/>
      <c r="AC19" s="3"/>
      <c r="AD19" s="3"/>
      <c r="AE19" s="3"/>
    </row>
    <row r="20" ht="16.5" customHeight="1">
      <c r="A20" s="30" t="s">
        <v>21</v>
      </c>
      <c r="B20" s="31" t="str">
        <f>VLOOKUP(A20,Lenker!$A$2:$B$22,2,FALSE)</f>
        <v>#N/A</v>
      </c>
      <c r="C20" s="32"/>
      <c r="D20" s="32"/>
      <c r="E20" s="33"/>
      <c r="F20" s="34"/>
      <c r="G20" s="35"/>
      <c r="H20" s="36"/>
      <c r="I20" s="37"/>
      <c r="J20" s="38"/>
      <c r="K20" s="36"/>
      <c r="L20" s="38"/>
      <c r="M20" s="36"/>
      <c r="N20" s="38"/>
      <c r="O20" s="36"/>
      <c r="P20" s="38"/>
      <c r="Q20" s="36"/>
      <c r="R20" s="38"/>
      <c r="S20" s="36"/>
      <c r="T20" s="38"/>
      <c r="U20" s="36"/>
      <c r="V20" s="38"/>
      <c r="W20" s="36"/>
      <c r="X20" s="38"/>
      <c r="Y20" s="36"/>
      <c r="Z20" s="36"/>
      <c r="AA20" s="38"/>
      <c r="AB20" s="36"/>
      <c r="AC20" s="3"/>
      <c r="AD20" s="3"/>
      <c r="AE20" s="3"/>
    </row>
    <row r="21" ht="16.5" customHeight="1">
      <c r="A21" s="39"/>
      <c r="B21" s="40"/>
      <c r="C21" s="32"/>
      <c r="D21" s="32"/>
      <c r="E21" s="33"/>
      <c r="F21" s="34"/>
      <c r="G21" s="35"/>
      <c r="H21" s="36"/>
      <c r="I21" s="37"/>
      <c r="J21" s="38"/>
      <c r="K21" s="36"/>
      <c r="L21" s="38"/>
      <c r="M21" s="36"/>
      <c r="N21" s="38"/>
      <c r="O21" s="36"/>
      <c r="P21" s="38"/>
      <c r="Q21" s="36"/>
      <c r="R21" s="38"/>
      <c r="S21" s="36"/>
      <c r="T21" s="38"/>
      <c r="U21" s="36"/>
      <c r="V21" s="38"/>
      <c r="W21" s="36"/>
      <c r="X21" s="38"/>
      <c r="Y21" s="36"/>
      <c r="Z21" s="36"/>
      <c r="AA21" s="38"/>
      <c r="AB21" s="36"/>
      <c r="AC21" s="3"/>
      <c r="AD21" s="3"/>
      <c r="AE21" s="3"/>
    </row>
    <row r="22" ht="16.5" customHeight="1">
      <c r="A22" s="30" t="s">
        <v>22</v>
      </c>
      <c r="B22" s="31" t="str">
        <f>VLOOKUP(A22,Lenker!$A$2:$B$22,2,FALSE)</f>
        <v>#N/A</v>
      </c>
      <c r="C22" s="32"/>
      <c r="D22" s="32"/>
      <c r="E22" s="33"/>
      <c r="F22" s="34"/>
      <c r="G22" s="35"/>
      <c r="H22" s="36"/>
      <c r="I22" s="37"/>
      <c r="J22" s="38"/>
      <c r="K22" s="36"/>
      <c r="L22" s="38"/>
      <c r="M22" s="36"/>
      <c r="N22" s="38"/>
      <c r="O22" s="36"/>
      <c r="P22" s="38"/>
      <c r="Q22" s="36"/>
      <c r="R22" s="38"/>
      <c r="S22" s="36"/>
      <c r="T22" s="38"/>
      <c r="U22" s="36"/>
      <c r="V22" s="38"/>
      <c r="W22" s="36"/>
      <c r="X22" s="38"/>
      <c r="Y22" s="36"/>
      <c r="Z22" s="36"/>
      <c r="AA22" s="38"/>
      <c r="AB22" s="36"/>
      <c r="AC22" s="3"/>
      <c r="AD22" s="3"/>
      <c r="AE22" s="3"/>
    </row>
    <row r="23" ht="16.5" customHeight="1">
      <c r="A23" s="39"/>
      <c r="B23" s="40"/>
      <c r="C23" s="32"/>
      <c r="D23" s="32"/>
      <c r="E23" s="33"/>
      <c r="F23" s="34"/>
      <c r="G23" s="35"/>
      <c r="H23" s="36"/>
      <c r="I23" s="37"/>
      <c r="J23" s="38"/>
      <c r="K23" s="36"/>
      <c r="L23" s="38"/>
      <c r="M23" s="36"/>
      <c r="N23" s="38"/>
      <c r="O23" s="36"/>
      <c r="P23" s="38"/>
      <c r="Q23" s="36"/>
      <c r="R23" s="38"/>
      <c r="S23" s="36"/>
      <c r="T23" s="38"/>
      <c r="U23" s="36"/>
      <c r="V23" s="38"/>
      <c r="W23" s="36"/>
      <c r="X23" s="38"/>
      <c r="Y23" s="36"/>
      <c r="Z23" s="36"/>
      <c r="AA23" s="38"/>
      <c r="AB23" s="36"/>
      <c r="AC23" s="3"/>
      <c r="AD23" s="3"/>
      <c r="AE23" s="3"/>
    </row>
    <row r="24" ht="16.5" customHeight="1">
      <c r="A24" s="30" t="s">
        <v>23</v>
      </c>
      <c r="B24" s="31" t="str">
        <f>VLOOKUP(A24,Lenker!$A$2:$B$22,2,FALSE)</f>
        <v>#N/A</v>
      </c>
      <c r="C24" s="32"/>
      <c r="D24" s="32"/>
      <c r="E24" s="33"/>
      <c r="F24" s="34"/>
      <c r="G24" s="35"/>
      <c r="H24" s="36"/>
      <c r="I24" s="37"/>
      <c r="J24" s="38"/>
      <c r="K24" s="36"/>
      <c r="L24" s="38"/>
      <c r="M24" s="36"/>
      <c r="N24" s="38"/>
      <c r="O24" s="36"/>
      <c r="P24" s="38"/>
      <c r="Q24" s="36"/>
      <c r="R24" s="38"/>
      <c r="S24" s="36"/>
      <c r="T24" s="38"/>
      <c r="U24" s="36"/>
      <c r="V24" s="38"/>
      <c r="W24" s="36"/>
      <c r="X24" s="38"/>
      <c r="Y24" s="36"/>
      <c r="Z24" s="36"/>
      <c r="AA24" s="38"/>
      <c r="AB24" s="36"/>
      <c r="AC24" s="3"/>
      <c r="AD24" s="3"/>
      <c r="AE24" s="3"/>
    </row>
    <row r="25" ht="16.5" customHeight="1">
      <c r="A25" s="39"/>
      <c r="B25" s="40"/>
      <c r="C25" s="32"/>
      <c r="D25" s="32"/>
      <c r="E25" s="33"/>
      <c r="F25" s="34"/>
      <c r="G25" s="35"/>
      <c r="H25" s="36"/>
      <c r="I25" s="37"/>
      <c r="J25" s="38"/>
      <c r="K25" s="36"/>
      <c r="L25" s="38"/>
      <c r="M25" s="36"/>
      <c r="N25" s="38"/>
      <c r="O25" s="36"/>
      <c r="P25" s="38"/>
      <c r="Q25" s="36"/>
      <c r="R25" s="38"/>
      <c r="S25" s="36"/>
      <c r="T25" s="38"/>
      <c r="U25" s="36"/>
      <c r="V25" s="38"/>
      <c r="W25" s="36"/>
      <c r="X25" s="38"/>
      <c r="Y25" s="36"/>
      <c r="Z25" s="36"/>
      <c r="AA25" s="38"/>
      <c r="AB25" s="36"/>
      <c r="AC25" s="3"/>
      <c r="AD25" s="3"/>
      <c r="AE25" s="3"/>
    </row>
    <row r="26" ht="16.5" customHeight="1">
      <c r="A26" s="30" t="s">
        <v>24</v>
      </c>
      <c r="B26" s="31" t="str">
        <f>VLOOKUP(A26,Lenker!$A$2:$B$22,2,FALSE)</f>
        <v>#N/A</v>
      </c>
      <c r="C26" s="32"/>
      <c r="D26" s="32"/>
      <c r="E26" s="33"/>
      <c r="F26" s="34"/>
      <c r="G26" s="35"/>
      <c r="H26" s="36"/>
      <c r="I26" s="37"/>
      <c r="J26" s="38"/>
      <c r="K26" s="36"/>
      <c r="L26" s="38"/>
      <c r="M26" s="36"/>
      <c r="N26" s="38"/>
      <c r="O26" s="36"/>
      <c r="P26" s="38"/>
      <c r="Q26" s="36"/>
      <c r="R26" s="38"/>
      <c r="S26" s="36"/>
      <c r="T26" s="38"/>
      <c r="U26" s="36"/>
      <c r="V26" s="38"/>
      <c r="W26" s="36"/>
      <c r="X26" s="38"/>
      <c r="Y26" s="36"/>
      <c r="Z26" s="36"/>
      <c r="AA26" s="38"/>
      <c r="AB26" s="36"/>
      <c r="AC26" s="3"/>
      <c r="AD26" s="3"/>
      <c r="AE26" s="3"/>
    </row>
    <row r="27" ht="16.5" customHeight="1">
      <c r="A27" s="39"/>
      <c r="B27" s="40"/>
      <c r="C27" s="32"/>
      <c r="D27" s="32"/>
      <c r="E27" s="33"/>
      <c r="F27" s="34"/>
      <c r="G27" s="35"/>
      <c r="H27" s="36"/>
      <c r="I27" s="37"/>
      <c r="J27" s="38"/>
      <c r="K27" s="36"/>
      <c r="L27" s="38"/>
      <c r="M27" s="36"/>
      <c r="N27" s="38"/>
      <c r="O27" s="36"/>
      <c r="P27" s="38"/>
      <c r="Q27" s="36"/>
      <c r="R27" s="38"/>
      <c r="S27" s="36"/>
      <c r="T27" s="38"/>
      <c r="U27" s="36"/>
      <c r="V27" s="38"/>
      <c r="W27" s="36"/>
      <c r="X27" s="38"/>
      <c r="Y27" s="36"/>
      <c r="Z27" s="36"/>
      <c r="AA27" s="38"/>
      <c r="AB27" s="36"/>
      <c r="AC27" s="3"/>
      <c r="AD27" s="3"/>
      <c r="AE27" s="3"/>
    </row>
    <row r="28" ht="16.5" customHeight="1">
      <c r="A28" s="30" t="s">
        <v>25</v>
      </c>
      <c r="B28" s="31" t="str">
        <f>VLOOKUP(A28,Lenker!$A$2:$B$22,2,FALSE)</f>
        <v>#N/A</v>
      </c>
      <c r="C28" s="32"/>
      <c r="D28" s="32"/>
      <c r="E28" s="33"/>
      <c r="F28" s="34"/>
      <c r="G28" s="35"/>
      <c r="H28" s="36"/>
      <c r="I28" s="37"/>
      <c r="J28" s="38"/>
      <c r="K28" s="36"/>
      <c r="L28" s="38"/>
      <c r="M28" s="36"/>
      <c r="N28" s="38"/>
      <c r="O28" s="36"/>
      <c r="P28" s="38"/>
      <c r="Q28" s="36"/>
      <c r="R28" s="38"/>
      <c r="S28" s="36"/>
      <c r="T28" s="38"/>
      <c r="U28" s="36"/>
      <c r="V28" s="38"/>
      <c r="W28" s="36"/>
      <c r="X28" s="38"/>
      <c r="Y28" s="36"/>
      <c r="Z28" s="36"/>
      <c r="AA28" s="38"/>
      <c r="AB28" s="36"/>
      <c r="AC28" s="3"/>
      <c r="AD28" s="3"/>
      <c r="AE28" s="3"/>
    </row>
    <row r="29" ht="16.5" customHeight="1">
      <c r="A29" s="39"/>
      <c r="B29" s="40"/>
      <c r="C29" s="32"/>
      <c r="D29" s="32"/>
      <c r="E29" s="33"/>
      <c r="F29" s="34"/>
      <c r="G29" s="35"/>
      <c r="H29" s="36"/>
      <c r="I29" s="37"/>
      <c r="J29" s="38"/>
      <c r="K29" s="36"/>
      <c r="L29" s="38"/>
      <c r="M29" s="36"/>
      <c r="N29" s="38"/>
      <c r="O29" s="36"/>
      <c r="P29" s="38"/>
      <c r="Q29" s="36"/>
      <c r="R29" s="38"/>
      <c r="S29" s="36"/>
      <c r="T29" s="38"/>
      <c r="U29" s="36"/>
      <c r="V29" s="38"/>
      <c r="W29" s="36"/>
      <c r="X29" s="38"/>
      <c r="Y29" s="36"/>
      <c r="Z29" s="36"/>
      <c r="AA29" s="38"/>
      <c r="AB29" s="36"/>
      <c r="AC29" s="3"/>
      <c r="AD29" s="3"/>
      <c r="AE29" s="3"/>
    </row>
    <row r="30" ht="16.5" customHeight="1">
      <c r="A30" s="30" t="s">
        <v>26</v>
      </c>
      <c r="B30" s="31" t="str">
        <f>VLOOKUP(A30,Lenker!$A$2:$B$22,2,FALSE)</f>
        <v>#N/A</v>
      </c>
      <c r="C30" s="32"/>
      <c r="D30" s="32"/>
      <c r="E30" s="33"/>
      <c r="F30" s="34"/>
      <c r="G30" s="35"/>
      <c r="H30" s="36"/>
      <c r="I30" s="37"/>
      <c r="J30" s="38"/>
      <c r="K30" s="36"/>
      <c r="L30" s="38"/>
      <c r="M30" s="36"/>
      <c r="N30" s="38"/>
      <c r="O30" s="36"/>
      <c r="P30" s="38"/>
      <c r="Q30" s="36"/>
      <c r="R30" s="38"/>
      <c r="S30" s="36"/>
      <c r="T30" s="38"/>
      <c r="U30" s="36"/>
      <c r="V30" s="38"/>
      <c r="W30" s="36"/>
      <c r="X30" s="38"/>
      <c r="Y30" s="36"/>
      <c r="Z30" s="36"/>
      <c r="AA30" s="38"/>
      <c r="AB30" s="36"/>
      <c r="AC30" s="3"/>
      <c r="AD30" s="3"/>
      <c r="AE30" s="3"/>
    </row>
    <row r="31" ht="16.5" customHeight="1">
      <c r="A31" s="39"/>
      <c r="B31" s="40"/>
      <c r="C31" s="32"/>
      <c r="D31" s="32"/>
      <c r="E31" s="33"/>
      <c r="F31" s="34"/>
      <c r="G31" s="35"/>
      <c r="H31" s="36"/>
      <c r="I31" s="37"/>
      <c r="J31" s="38"/>
      <c r="K31" s="36"/>
      <c r="L31" s="38"/>
      <c r="M31" s="36"/>
      <c r="N31" s="38"/>
      <c r="O31" s="36"/>
      <c r="P31" s="38"/>
      <c r="Q31" s="36"/>
      <c r="R31" s="38"/>
      <c r="S31" s="36"/>
      <c r="T31" s="38"/>
      <c r="U31" s="36"/>
      <c r="V31" s="38"/>
      <c r="W31" s="36"/>
      <c r="X31" s="38"/>
      <c r="Y31" s="36"/>
      <c r="Z31" s="36"/>
      <c r="AA31" s="38"/>
      <c r="AB31" s="36"/>
      <c r="AC31" s="3"/>
      <c r="AD31" s="3"/>
      <c r="AE31" s="3"/>
    </row>
    <row r="32" ht="16.5" customHeight="1">
      <c r="A32" s="30" t="s">
        <v>27</v>
      </c>
      <c r="B32" s="31" t="str">
        <f>VLOOKUP(A32,Lenker!$A$2:$B$22,2,FALSE)</f>
        <v>#N/A</v>
      </c>
      <c r="C32" s="32"/>
      <c r="D32" s="32"/>
      <c r="E32" s="33"/>
      <c r="F32" s="34"/>
      <c r="G32" s="35"/>
      <c r="H32" s="36"/>
      <c r="I32" s="37"/>
      <c r="J32" s="38"/>
      <c r="K32" s="36"/>
      <c r="L32" s="38"/>
      <c r="M32" s="36"/>
      <c r="N32" s="38"/>
      <c r="O32" s="36"/>
      <c r="P32" s="38"/>
      <c r="Q32" s="36"/>
      <c r="R32" s="38"/>
      <c r="S32" s="36"/>
      <c r="T32" s="38"/>
      <c r="U32" s="36"/>
      <c r="V32" s="38"/>
      <c r="W32" s="36"/>
      <c r="X32" s="38"/>
      <c r="Y32" s="36"/>
      <c r="Z32" s="36"/>
      <c r="AA32" s="38"/>
      <c r="AB32" s="36"/>
      <c r="AC32" s="3"/>
      <c r="AD32" s="3"/>
      <c r="AE32" s="3"/>
    </row>
    <row r="33" ht="16.5" customHeight="1">
      <c r="A33" s="39"/>
      <c r="B33" s="40"/>
      <c r="C33" s="32"/>
      <c r="D33" s="32"/>
      <c r="E33" s="33"/>
      <c r="F33" s="34"/>
      <c r="G33" s="35"/>
      <c r="H33" s="36"/>
      <c r="I33" s="37"/>
      <c r="J33" s="38"/>
      <c r="K33" s="36"/>
      <c r="L33" s="38"/>
      <c r="M33" s="36"/>
      <c r="N33" s="38"/>
      <c r="O33" s="36"/>
      <c r="P33" s="38"/>
      <c r="Q33" s="36"/>
      <c r="R33" s="38"/>
      <c r="S33" s="36"/>
      <c r="T33" s="38"/>
      <c r="U33" s="36"/>
      <c r="V33" s="38"/>
      <c r="W33" s="36"/>
      <c r="X33" s="38"/>
      <c r="Y33" s="36"/>
      <c r="Z33" s="36"/>
      <c r="AA33" s="38"/>
      <c r="AB33" s="36"/>
      <c r="AC33" s="3"/>
      <c r="AD33" s="3"/>
      <c r="AE33" s="3"/>
    </row>
    <row r="34" ht="16.5" customHeight="1">
      <c r="A34" s="30" t="s">
        <v>28</v>
      </c>
      <c r="B34" s="31" t="str">
        <f>VLOOKUP(A34,Lenker!$A$2:$B$22,2,FALSE)</f>
        <v>#N/A</v>
      </c>
      <c r="C34" s="32"/>
      <c r="D34" s="32"/>
      <c r="E34" s="33"/>
      <c r="F34" s="34"/>
      <c r="G34" s="35"/>
      <c r="H34" s="36"/>
      <c r="I34" s="37"/>
      <c r="J34" s="38"/>
      <c r="K34" s="36"/>
      <c r="L34" s="38"/>
      <c r="M34" s="36"/>
      <c r="N34" s="38"/>
      <c r="O34" s="36"/>
      <c r="P34" s="38"/>
      <c r="Q34" s="36"/>
      <c r="R34" s="38"/>
      <c r="S34" s="36"/>
      <c r="T34" s="38"/>
      <c r="U34" s="36"/>
      <c r="V34" s="38"/>
      <c r="W34" s="36"/>
      <c r="X34" s="38"/>
      <c r="Y34" s="36"/>
      <c r="Z34" s="36"/>
      <c r="AA34" s="38"/>
      <c r="AB34" s="36"/>
      <c r="AC34" s="3"/>
      <c r="AD34" s="3"/>
      <c r="AE34" s="3"/>
    </row>
    <row r="35" ht="16.5" customHeight="1">
      <c r="A35" s="39"/>
      <c r="B35" s="40"/>
      <c r="C35" s="32"/>
      <c r="D35" s="32"/>
      <c r="E35" s="33"/>
      <c r="F35" s="34"/>
      <c r="G35" s="35"/>
      <c r="H35" s="36"/>
      <c r="I35" s="37"/>
      <c r="J35" s="38"/>
      <c r="K35" s="36"/>
      <c r="L35" s="38"/>
      <c r="M35" s="36"/>
      <c r="N35" s="38"/>
      <c r="O35" s="36"/>
      <c r="P35" s="38"/>
      <c r="Q35" s="36"/>
      <c r="R35" s="38"/>
      <c r="S35" s="36"/>
      <c r="T35" s="38"/>
      <c r="U35" s="36"/>
      <c r="V35" s="38"/>
      <c r="W35" s="36"/>
      <c r="X35" s="38"/>
      <c r="Y35" s="36"/>
      <c r="Z35" s="36"/>
      <c r="AA35" s="38"/>
      <c r="AB35" s="36"/>
      <c r="AC35" s="3"/>
      <c r="AD35" s="3"/>
      <c r="AE35" s="3"/>
    </row>
    <row r="36" ht="16.5" customHeight="1">
      <c r="A36" s="30" t="s">
        <v>29</v>
      </c>
      <c r="B36" s="31" t="str">
        <f>VLOOKUP(A36,Lenker!$A$2:$B$22,2,FALSE)</f>
        <v>#N/A</v>
      </c>
      <c r="C36" s="32"/>
      <c r="D36" s="32"/>
      <c r="E36" s="33"/>
      <c r="F36" s="34"/>
      <c r="G36" s="35"/>
      <c r="H36" s="36"/>
      <c r="I36" s="37"/>
      <c r="J36" s="38"/>
      <c r="K36" s="36"/>
      <c r="L36" s="38"/>
      <c r="M36" s="36"/>
      <c r="N36" s="38"/>
      <c r="O36" s="36"/>
      <c r="P36" s="38"/>
      <c r="Q36" s="36"/>
      <c r="R36" s="38"/>
      <c r="S36" s="36"/>
      <c r="T36" s="38"/>
      <c r="U36" s="36"/>
      <c r="V36" s="38"/>
      <c r="W36" s="36"/>
      <c r="X36" s="38"/>
      <c r="Y36" s="36"/>
      <c r="Z36" s="36"/>
      <c r="AA36" s="38"/>
      <c r="AB36" s="36"/>
      <c r="AC36" s="3"/>
      <c r="AD36" s="3"/>
      <c r="AE36" s="3"/>
    </row>
    <row r="37" ht="16.5" customHeight="1">
      <c r="A37" s="39"/>
      <c r="B37" s="40"/>
      <c r="C37" s="32"/>
      <c r="D37" s="32"/>
      <c r="E37" s="33"/>
      <c r="F37" s="34"/>
      <c r="G37" s="35"/>
      <c r="H37" s="36"/>
      <c r="I37" s="37"/>
      <c r="J37" s="38"/>
      <c r="K37" s="36"/>
      <c r="L37" s="38"/>
      <c r="M37" s="36"/>
      <c r="N37" s="38"/>
      <c r="O37" s="36"/>
      <c r="P37" s="38"/>
      <c r="Q37" s="36"/>
      <c r="R37" s="38"/>
      <c r="S37" s="36"/>
      <c r="T37" s="38"/>
      <c r="U37" s="36"/>
      <c r="V37" s="38"/>
      <c r="W37" s="36"/>
      <c r="X37" s="38"/>
      <c r="Y37" s="36"/>
      <c r="Z37" s="36"/>
      <c r="AA37" s="38"/>
      <c r="AB37" s="36"/>
      <c r="AC37" s="3"/>
      <c r="AD37" s="3"/>
      <c r="AE37" s="3"/>
    </row>
    <row r="38" ht="16.5" customHeight="1">
      <c r="A38" s="30" t="s">
        <v>30</v>
      </c>
      <c r="B38" s="31" t="str">
        <f>VLOOKUP(A38,Lenker!$A$2:$B$22,2,FALSE)</f>
        <v>#N/A</v>
      </c>
      <c r="C38" s="32"/>
      <c r="D38" s="32"/>
      <c r="E38" s="33"/>
      <c r="F38" s="34"/>
      <c r="G38" s="35"/>
      <c r="H38" s="36"/>
      <c r="I38" s="37"/>
      <c r="J38" s="38"/>
      <c r="K38" s="36"/>
      <c r="L38" s="38"/>
      <c r="M38" s="36"/>
      <c r="N38" s="38"/>
      <c r="O38" s="36"/>
      <c r="P38" s="38"/>
      <c r="Q38" s="36"/>
      <c r="R38" s="38"/>
      <c r="S38" s="36"/>
      <c r="T38" s="38"/>
      <c r="U38" s="36"/>
      <c r="V38" s="38"/>
      <c r="W38" s="36"/>
      <c r="X38" s="38"/>
      <c r="Y38" s="36"/>
      <c r="Z38" s="36"/>
      <c r="AA38" s="38"/>
      <c r="AB38" s="36"/>
      <c r="AC38" s="3"/>
      <c r="AD38" s="3"/>
      <c r="AE38" s="3"/>
    </row>
    <row r="39" ht="16.5" customHeight="1">
      <c r="A39" s="39"/>
      <c r="B39" s="40"/>
      <c r="C39" s="32"/>
      <c r="D39" s="32"/>
      <c r="E39" s="33"/>
      <c r="F39" s="34"/>
      <c r="G39" s="35"/>
      <c r="H39" s="36"/>
      <c r="I39" s="37"/>
      <c r="J39" s="38"/>
      <c r="K39" s="36"/>
      <c r="L39" s="38"/>
      <c r="M39" s="36"/>
      <c r="N39" s="38"/>
      <c r="O39" s="36"/>
      <c r="P39" s="38"/>
      <c r="Q39" s="36"/>
      <c r="R39" s="38"/>
      <c r="S39" s="36"/>
      <c r="T39" s="38"/>
      <c r="U39" s="36"/>
      <c r="V39" s="38"/>
      <c r="W39" s="36"/>
      <c r="X39" s="38"/>
      <c r="Y39" s="36"/>
      <c r="Z39" s="36"/>
      <c r="AA39" s="38"/>
      <c r="AB39" s="36"/>
      <c r="AC39" s="3"/>
      <c r="AD39" s="3"/>
      <c r="AE39" s="3"/>
    </row>
    <row r="40" ht="16.5" customHeight="1">
      <c r="A40" s="30" t="s">
        <v>31</v>
      </c>
      <c r="B40" s="31" t="str">
        <f>VLOOKUP(A40,Lenker!$A$2:$B$22,2,FALSE)</f>
        <v>#N/A</v>
      </c>
      <c r="C40" s="32"/>
      <c r="D40" s="32"/>
      <c r="E40" s="33"/>
      <c r="F40" s="34"/>
      <c r="G40" s="35"/>
      <c r="H40" s="36"/>
      <c r="I40" s="37"/>
      <c r="J40" s="38"/>
      <c r="K40" s="36"/>
      <c r="L40" s="38"/>
      <c r="M40" s="36"/>
      <c r="N40" s="38"/>
      <c r="O40" s="36"/>
      <c r="P40" s="38"/>
      <c r="Q40" s="36"/>
      <c r="R40" s="38"/>
      <c r="S40" s="36"/>
      <c r="T40" s="38"/>
      <c r="U40" s="36"/>
      <c r="V40" s="38"/>
      <c r="W40" s="36"/>
      <c r="X40" s="38"/>
      <c r="Y40" s="36"/>
      <c r="Z40" s="36"/>
      <c r="AA40" s="38"/>
      <c r="AB40" s="36"/>
      <c r="AC40" s="3"/>
      <c r="AD40" s="3"/>
      <c r="AE40" s="3"/>
    </row>
    <row r="41" ht="16.5" customHeight="1">
      <c r="A41" s="39"/>
      <c r="B41" s="40"/>
      <c r="C41" s="32"/>
      <c r="D41" s="32"/>
      <c r="E41" s="33"/>
      <c r="F41" s="34"/>
      <c r="G41" s="35"/>
      <c r="H41" s="36"/>
      <c r="I41" s="37"/>
      <c r="J41" s="38"/>
      <c r="K41" s="36"/>
      <c r="L41" s="38"/>
      <c r="M41" s="36"/>
      <c r="N41" s="38"/>
      <c r="O41" s="36"/>
      <c r="P41" s="38"/>
      <c r="Q41" s="36"/>
      <c r="R41" s="38"/>
      <c r="S41" s="36"/>
      <c r="T41" s="38"/>
      <c r="U41" s="36"/>
      <c r="V41" s="38"/>
      <c r="W41" s="36"/>
      <c r="X41" s="38"/>
      <c r="Y41" s="36"/>
      <c r="Z41" s="36"/>
      <c r="AA41" s="38"/>
      <c r="AB41" s="36"/>
      <c r="AC41" s="3"/>
      <c r="AD41" s="3"/>
      <c r="AE41" s="3"/>
    </row>
    <row r="42" ht="16.5" customHeight="1">
      <c r="A42" s="30" t="s">
        <v>32</v>
      </c>
      <c r="B42" s="31" t="str">
        <f>VLOOKUP(A42,Lenker!$A$2:$B$22,2,FALSE)</f>
        <v>#N/A</v>
      </c>
      <c r="C42" s="32"/>
      <c r="D42" s="32"/>
      <c r="E42" s="33"/>
      <c r="F42" s="34"/>
      <c r="G42" s="35"/>
      <c r="H42" s="36"/>
      <c r="I42" s="37"/>
      <c r="J42" s="38"/>
      <c r="K42" s="36"/>
      <c r="L42" s="38"/>
      <c r="M42" s="36"/>
      <c r="N42" s="38"/>
      <c r="O42" s="36"/>
      <c r="P42" s="38"/>
      <c r="Q42" s="36"/>
      <c r="R42" s="38"/>
      <c r="S42" s="36"/>
      <c r="T42" s="38"/>
      <c r="U42" s="36"/>
      <c r="V42" s="38"/>
      <c r="W42" s="36"/>
      <c r="X42" s="38"/>
      <c r="Y42" s="36"/>
      <c r="Z42" s="36"/>
      <c r="AA42" s="38"/>
      <c r="AB42" s="36"/>
      <c r="AC42" s="3"/>
      <c r="AD42" s="3"/>
      <c r="AE42" s="3"/>
    </row>
    <row r="43" ht="16.5" customHeight="1">
      <c r="A43" s="39"/>
      <c r="B43" s="40"/>
      <c r="C43" s="32"/>
      <c r="D43" s="32"/>
      <c r="E43" s="33"/>
      <c r="F43" s="34"/>
      <c r="G43" s="35"/>
      <c r="H43" s="36"/>
      <c r="I43" s="37"/>
      <c r="J43" s="38"/>
      <c r="K43" s="36"/>
      <c r="L43" s="38"/>
      <c r="M43" s="36"/>
      <c r="N43" s="38"/>
      <c r="O43" s="36"/>
      <c r="P43" s="38"/>
      <c r="Q43" s="36"/>
      <c r="R43" s="38"/>
      <c r="S43" s="36"/>
      <c r="T43" s="38"/>
      <c r="U43" s="36"/>
      <c r="V43" s="38"/>
      <c r="W43" s="36"/>
      <c r="X43" s="38"/>
      <c r="Y43" s="36"/>
      <c r="Z43" s="36"/>
      <c r="AA43" s="38"/>
      <c r="AB43" s="36"/>
      <c r="AC43" s="3"/>
      <c r="AD43" s="3"/>
      <c r="AE43" s="3"/>
    </row>
    <row r="44" ht="16.5" customHeight="1">
      <c r="A44" s="30" t="s">
        <v>33</v>
      </c>
      <c r="B44" s="31" t="str">
        <f>VLOOKUP(A44,Lenker!$A$2:$B$22,2,FALSE)</f>
        <v>#N/A</v>
      </c>
      <c r="C44" s="32"/>
      <c r="D44" s="32"/>
      <c r="E44" s="33"/>
      <c r="F44" s="34"/>
      <c r="G44" s="35"/>
      <c r="H44" s="36"/>
      <c r="I44" s="37"/>
      <c r="J44" s="38"/>
      <c r="K44" s="36"/>
      <c r="L44" s="38"/>
      <c r="M44" s="36"/>
      <c r="N44" s="38"/>
      <c r="O44" s="36"/>
      <c r="P44" s="38"/>
      <c r="Q44" s="36"/>
      <c r="R44" s="38"/>
      <c r="S44" s="36"/>
      <c r="T44" s="38"/>
      <c r="U44" s="36"/>
      <c r="V44" s="38"/>
      <c r="W44" s="36"/>
      <c r="X44" s="38"/>
      <c r="Y44" s="36"/>
      <c r="Z44" s="36"/>
      <c r="AA44" s="38"/>
      <c r="AB44" s="36"/>
      <c r="AC44" s="3"/>
      <c r="AD44" s="3"/>
      <c r="AE44" s="3"/>
    </row>
    <row r="45" ht="16.5" customHeight="1">
      <c r="A45" s="39"/>
      <c r="B45" s="40"/>
      <c r="C45" s="32"/>
      <c r="D45" s="32"/>
      <c r="E45" s="33"/>
      <c r="F45" s="34"/>
      <c r="G45" s="35"/>
      <c r="H45" s="36"/>
      <c r="I45" s="37"/>
      <c r="J45" s="38"/>
      <c r="K45" s="36"/>
      <c r="L45" s="38"/>
      <c r="M45" s="36"/>
      <c r="N45" s="38"/>
      <c r="O45" s="36"/>
      <c r="P45" s="38"/>
      <c r="Q45" s="36"/>
      <c r="R45" s="38"/>
      <c r="S45" s="36"/>
      <c r="T45" s="38"/>
      <c r="U45" s="36"/>
      <c r="V45" s="38"/>
      <c r="W45" s="36"/>
      <c r="X45" s="38"/>
      <c r="Y45" s="36"/>
      <c r="Z45" s="36"/>
      <c r="AA45" s="38"/>
      <c r="AB45" s="36"/>
      <c r="AC45" s="3"/>
      <c r="AD45" s="3"/>
      <c r="AE45" s="3"/>
    </row>
    <row r="46" ht="16.5" customHeight="1">
      <c r="A46" s="30" t="s">
        <v>34</v>
      </c>
      <c r="B46" s="31" t="str">
        <f>VLOOKUP(A46,Lenker!$A$2:$B$22,2,FALSE)</f>
        <v>#N/A</v>
      </c>
      <c r="C46" s="32"/>
      <c r="D46" s="32"/>
      <c r="E46" s="33"/>
      <c r="F46" s="34"/>
      <c r="G46" s="35"/>
      <c r="H46" s="36"/>
      <c r="I46" s="37"/>
      <c r="J46" s="38"/>
      <c r="K46" s="36"/>
      <c r="L46" s="38"/>
      <c r="M46" s="36"/>
      <c r="N46" s="38"/>
      <c r="O46" s="36"/>
      <c r="P46" s="38"/>
      <c r="Q46" s="36"/>
      <c r="R46" s="38"/>
      <c r="S46" s="36"/>
      <c r="T46" s="38"/>
      <c r="U46" s="36"/>
      <c r="V46" s="38"/>
      <c r="W46" s="36"/>
      <c r="X46" s="38"/>
      <c r="Y46" s="36"/>
      <c r="Z46" s="36"/>
      <c r="AA46" s="38"/>
      <c r="AB46" s="36"/>
      <c r="AC46" s="3"/>
      <c r="AD46" s="3"/>
      <c r="AE46" s="3"/>
    </row>
    <row r="47" ht="16.5" customHeight="1">
      <c r="A47" s="39"/>
      <c r="B47" s="40"/>
      <c r="C47" s="32"/>
      <c r="D47" s="32"/>
      <c r="E47" s="33"/>
      <c r="F47" s="34"/>
      <c r="G47" s="35"/>
      <c r="H47" s="36"/>
      <c r="I47" s="37"/>
      <c r="J47" s="38"/>
      <c r="K47" s="36"/>
      <c r="L47" s="38"/>
      <c r="M47" s="36"/>
      <c r="N47" s="38"/>
      <c r="O47" s="36"/>
      <c r="P47" s="38"/>
      <c r="Q47" s="36"/>
      <c r="R47" s="38"/>
      <c r="S47" s="36"/>
      <c r="T47" s="38"/>
      <c r="U47" s="36"/>
      <c r="V47" s="38"/>
      <c r="W47" s="36"/>
      <c r="X47" s="38"/>
      <c r="Y47" s="36"/>
      <c r="Z47" s="36"/>
      <c r="AA47" s="38"/>
      <c r="AB47" s="36"/>
      <c r="AC47" s="3"/>
      <c r="AD47" s="3"/>
      <c r="AE47" s="3"/>
    </row>
    <row r="48" ht="16.5" customHeight="1">
      <c r="A48" s="30" t="s">
        <v>35</v>
      </c>
      <c r="B48" s="31" t="str">
        <f>VLOOKUP(A48,Lenker!$A$2:$B$22,2,FALSE)</f>
        <v>#N/A</v>
      </c>
      <c r="C48" s="32"/>
      <c r="D48" s="32"/>
      <c r="E48" s="33"/>
      <c r="F48" s="34"/>
      <c r="G48" s="35"/>
      <c r="H48" s="36"/>
      <c r="I48" s="37"/>
      <c r="J48" s="38"/>
      <c r="K48" s="36"/>
      <c r="L48" s="38"/>
      <c r="M48" s="36"/>
      <c r="N48" s="38"/>
      <c r="O48" s="36"/>
      <c r="P48" s="38"/>
      <c r="Q48" s="36"/>
      <c r="R48" s="38"/>
      <c r="S48" s="36"/>
      <c r="T48" s="38"/>
      <c r="U48" s="36"/>
      <c r="V48" s="38"/>
      <c r="W48" s="36"/>
      <c r="X48" s="38"/>
      <c r="Y48" s="36"/>
      <c r="Z48" s="36"/>
      <c r="AA48" s="38"/>
      <c r="AB48" s="36"/>
      <c r="AC48" s="3"/>
      <c r="AD48" s="3"/>
      <c r="AE48" s="3"/>
    </row>
    <row r="49" ht="16.5" customHeight="1">
      <c r="A49" s="39"/>
      <c r="B49" s="40"/>
      <c r="C49" s="32"/>
      <c r="D49" s="32"/>
      <c r="E49" s="33"/>
      <c r="F49" s="34"/>
      <c r="G49" s="35"/>
      <c r="H49" s="36"/>
      <c r="I49" s="37"/>
      <c r="J49" s="38"/>
      <c r="K49" s="36"/>
      <c r="L49" s="38"/>
      <c r="M49" s="36"/>
      <c r="N49" s="38"/>
      <c r="O49" s="36"/>
      <c r="P49" s="38"/>
      <c r="Q49" s="36"/>
      <c r="R49" s="38"/>
      <c r="S49" s="36"/>
      <c r="T49" s="38"/>
      <c r="U49" s="36"/>
      <c r="V49" s="38"/>
      <c r="W49" s="36"/>
      <c r="X49" s="38"/>
      <c r="Y49" s="36"/>
      <c r="Z49" s="36"/>
      <c r="AA49" s="38"/>
      <c r="AB49" s="36"/>
      <c r="AC49" s="3"/>
      <c r="AD49" s="3"/>
      <c r="AE49" s="3"/>
    </row>
    <row r="50" ht="16.5" customHeight="1">
      <c r="A50" s="30" t="s">
        <v>36</v>
      </c>
      <c r="B50" s="31" t="str">
        <f>VLOOKUP(A50,Lenker!$A$2:$B$22,2,FALSE)</f>
        <v>#N/A</v>
      </c>
      <c r="C50" s="32"/>
      <c r="D50" s="32"/>
      <c r="E50" s="33"/>
      <c r="F50" s="34"/>
      <c r="G50" s="35"/>
      <c r="H50" s="36"/>
      <c r="I50" s="37"/>
      <c r="J50" s="38"/>
      <c r="K50" s="36"/>
      <c r="L50" s="38"/>
      <c r="M50" s="36"/>
      <c r="N50" s="38"/>
      <c r="O50" s="36"/>
      <c r="P50" s="38"/>
      <c r="Q50" s="36"/>
      <c r="R50" s="38"/>
      <c r="S50" s="36"/>
      <c r="T50" s="38"/>
      <c r="U50" s="36"/>
      <c r="V50" s="38"/>
      <c r="W50" s="36"/>
      <c r="X50" s="38"/>
      <c r="Y50" s="36"/>
      <c r="Z50" s="36"/>
      <c r="AA50" s="38"/>
      <c r="AB50" s="36"/>
      <c r="AC50" s="3"/>
      <c r="AD50" s="3"/>
      <c r="AE50" s="3"/>
    </row>
    <row r="51" ht="16.5" customHeight="1">
      <c r="A51" s="39"/>
      <c r="B51" s="40"/>
      <c r="C51" s="32"/>
      <c r="D51" s="32"/>
      <c r="E51" s="33"/>
      <c r="F51" s="34"/>
      <c r="G51" s="35"/>
      <c r="H51" s="36"/>
      <c r="I51" s="37"/>
      <c r="J51" s="38"/>
      <c r="K51" s="36"/>
      <c r="L51" s="38"/>
      <c r="M51" s="36"/>
      <c r="N51" s="38"/>
      <c r="O51" s="36"/>
      <c r="P51" s="38"/>
      <c r="Q51" s="36"/>
      <c r="R51" s="38"/>
      <c r="S51" s="36"/>
      <c r="T51" s="38"/>
      <c r="U51" s="36"/>
      <c r="V51" s="38"/>
      <c r="W51" s="36"/>
      <c r="X51" s="38"/>
      <c r="Y51" s="36"/>
      <c r="Z51" s="36"/>
      <c r="AA51" s="38"/>
      <c r="AB51" s="36"/>
      <c r="AC51" s="3"/>
      <c r="AD51" s="3"/>
      <c r="AE51" s="3"/>
    </row>
    <row r="52" ht="16.5" customHeight="1">
      <c r="A52" s="30" t="s">
        <v>36</v>
      </c>
      <c r="B52" s="31" t="str">
        <f>VLOOKUP(A52,Lenker!$A$2:$B$22,2,FALSE)</f>
        <v>#N/A</v>
      </c>
      <c r="C52" s="32"/>
      <c r="D52" s="32"/>
      <c r="E52" s="33"/>
      <c r="F52" s="34"/>
      <c r="G52" s="35"/>
      <c r="H52" s="36"/>
      <c r="I52" s="37"/>
      <c r="J52" s="38"/>
      <c r="K52" s="36"/>
      <c r="L52" s="38"/>
      <c r="M52" s="36"/>
      <c r="N52" s="38"/>
      <c r="O52" s="36"/>
      <c r="P52" s="38"/>
      <c r="Q52" s="36"/>
      <c r="R52" s="38"/>
      <c r="S52" s="36"/>
      <c r="T52" s="38"/>
      <c r="U52" s="36"/>
      <c r="V52" s="38"/>
      <c r="W52" s="36"/>
      <c r="X52" s="38"/>
      <c r="Y52" s="36"/>
      <c r="Z52" s="36"/>
      <c r="AA52" s="38"/>
      <c r="AB52" s="36"/>
      <c r="AC52" s="3"/>
      <c r="AD52" s="3"/>
      <c r="AE52" s="3"/>
    </row>
    <row r="53" ht="16.5" customHeight="1">
      <c r="A53" s="39"/>
      <c r="B53" s="40"/>
      <c r="C53" s="32"/>
      <c r="D53" s="32"/>
      <c r="E53" s="33"/>
      <c r="F53" s="34"/>
      <c r="G53" s="35"/>
      <c r="H53" s="36"/>
      <c r="I53" s="37"/>
      <c r="J53" s="38"/>
      <c r="K53" s="36"/>
      <c r="L53" s="38"/>
      <c r="M53" s="36"/>
      <c r="N53" s="38"/>
      <c r="O53" s="36"/>
      <c r="P53" s="38"/>
      <c r="Q53" s="36"/>
      <c r="R53" s="38"/>
      <c r="S53" s="36"/>
      <c r="T53" s="38"/>
      <c r="U53" s="36"/>
      <c r="V53" s="38"/>
      <c r="W53" s="36"/>
      <c r="X53" s="38"/>
      <c r="Y53" s="36"/>
      <c r="Z53" s="36"/>
      <c r="AA53" s="38"/>
      <c r="AB53" s="36"/>
      <c r="AC53" s="3"/>
      <c r="AD53" s="3"/>
      <c r="AE53" s="3"/>
    </row>
    <row r="54" ht="16.5" customHeight="1">
      <c r="A54" s="30" t="s">
        <v>37</v>
      </c>
      <c r="B54" s="31" t="str">
        <f>VLOOKUP(A54,Lenker!$A$2:$B$22,2,FALSE)</f>
        <v>#N/A</v>
      </c>
      <c r="C54" s="32"/>
      <c r="D54" s="32"/>
      <c r="E54" s="33"/>
      <c r="F54" s="34"/>
      <c r="G54" s="35"/>
      <c r="H54" s="36"/>
      <c r="I54" s="37"/>
      <c r="J54" s="38"/>
      <c r="K54" s="36"/>
      <c r="L54" s="38"/>
      <c r="M54" s="36"/>
      <c r="N54" s="38"/>
      <c r="O54" s="36"/>
      <c r="P54" s="38"/>
      <c r="Q54" s="36"/>
      <c r="R54" s="38"/>
      <c r="S54" s="36"/>
      <c r="T54" s="38"/>
      <c r="U54" s="36"/>
      <c r="V54" s="38"/>
      <c r="W54" s="36"/>
      <c r="X54" s="38"/>
      <c r="Y54" s="36"/>
      <c r="Z54" s="36"/>
      <c r="AA54" s="38"/>
      <c r="AB54" s="36"/>
      <c r="AC54" s="3"/>
      <c r="AD54" s="3"/>
      <c r="AE54" s="3"/>
    </row>
    <row r="55" ht="16.5" customHeight="1">
      <c r="A55" s="39"/>
      <c r="B55" s="40"/>
      <c r="C55" s="32"/>
      <c r="D55" s="32"/>
      <c r="E55" s="33"/>
      <c r="F55" s="34"/>
      <c r="G55" s="35"/>
      <c r="H55" s="36"/>
      <c r="I55" s="37"/>
      <c r="J55" s="38"/>
      <c r="K55" s="36"/>
      <c r="L55" s="38"/>
      <c r="M55" s="36"/>
      <c r="N55" s="38"/>
      <c r="O55" s="36"/>
      <c r="P55" s="38"/>
      <c r="Q55" s="36"/>
      <c r="R55" s="38"/>
      <c r="S55" s="36"/>
      <c r="T55" s="38"/>
      <c r="U55" s="36"/>
      <c r="V55" s="38"/>
      <c r="W55" s="36"/>
      <c r="X55" s="38"/>
      <c r="Y55" s="36"/>
      <c r="Z55" s="36"/>
      <c r="AA55" s="38"/>
      <c r="AB55" s="36"/>
      <c r="AC55" s="3"/>
      <c r="AD55" s="3"/>
      <c r="AE55" s="3"/>
    </row>
    <row r="56" ht="16.5" customHeight="1">
      <c r="A56" s="30" t="s">
        <v>38</v>
      </c>
      <c r="B56" s="31" t="str">
        <f>VLOOKUP(A56,Lenker!$A$2:$B$22,2,FALSE)</f>
        <v>#N/A</v>
      </c>
      <c r="C56" s="32"/>
      <c r="D56" s="32"/>
      <c r="E56" s="33"/>
      <c r="F56" s="34"/>
      <c r="G56" s="35"/>
      <c r="H56" s="36"/>
      <c r="I56" s="37"/>
      <c r="J56" s="38"/>
      <c r="K56" s="36"/>
      <c r="L56" s="38"/>
      <c r="M56" s="36"/>
      <c r="N56" s="38"/>
      <c r="O56" s="36"/>
      <c r="P56" s="38"/>
      <c r="Q56" s="36"/>
      <c r="R56" s="38"/>
      <c r="S56" s="36"/>
      <c r="T56" s="38"/>
      <c r="U56" s="36"/>
      <c r="V56" s="38"/>
      <c r="W56" s="36"/>
      <c r="X56" s="38"/>
      <c r="Y56" s="36"/>
      <c r="Z56" s="36"/>
      <c r="AA56" s="38"/>
      <c r="AB56" s="36"/>
      <c r="AC56" s="3"/>
      <c r="AD56" s="3"/>
      <c r="AE56" s="3"/>
    </row>
    <row r="57" ht="16.5" customHeight="1">
      <c r="A57" s="39"/>
      <c r="B57" s="40"/>
      <c r="C57" s="32"/>
      <c r="D57" s="32"/>
      <c r="E57" s="33"/>
      <c r="F57" s="34"/>
      <c r="G57" s="35"/>
      <c r="H57" s="36"/>
      <c r="I57" s="37"/>
      <c r="J57" s="38"/>
      <c r="K57" s="36"/>
      <c r="L57" s="38"/>
      <c r="M57" s="36"/>
      <c r="N57" s="38"/>
      <c r="O57" s="36"/>
      <c r="P57" s="38"/>
      <c r="Q57" s="36"/>
      <c r="R57" s="38"/>
      <c r="S57" s="36"/>
      <c r="T57" s="38"/>
      <c r="U57" s="36"/>
      <c r="V57" s="38"/>
      <c r="W57" s="36"/>
      <c r="X57" s="38"/>
      <c r="Y57" s="36"/>
      <c r="Z57" s="36"/>
      <c r="AA57" s="38"/>
      <c r="AB57" s="36"/>
      <c r="AC57" s="3"/>
      <c r="AD57" s="3"/>
      <c r="AE57" s="3"/>
    </row>
    <row r="58" ht="16.5" customHeight="1">
      <c r="A58" s="30" t="s">
        <v>39</v>
      </c>
      <c r="B58" s="31" t="str">
        <f>VLOOKUP(A58,Lenker!$A$2:$B$22,2,FALSE)</f>
        <v>#N/A</v>
      </c>
      <c r="C58" s="32"/>
      <c r="D58" s="32"/>
      <c r="E58" s="33"/>
      <c r="F58" s="34"/>
      <c r="G58" s="35"/>
      <c r="H58" s="36"/>
      <c r="I58" s="37"/>
      <c r="J58" s="38"/>
      <c r="K58" s="36"/>
      <c r="L58" s="38"/>
      <c r="M58" s="36"/>
      <c r="N58" s="38"/>
      <c r="O58" s="36"/>
      <c r="P58" s="38"/>
      <c r="Q58" s="36"/>
      <c r="R58" s="38"/>
      <c r="S58" s="36"/>
      <c r="T58" s="38"/>
      <c r="U58" s="36"/>
      <c r="V58" s="38"/>
      <c r="W58" s="36"/>
      <c r="X58" s="38"/>
      <c r="Y58" s="36"/>
      <c r="Z58" s="36"/>
      <c r="AA58" s="38"/>
      <c r="AB58" s="36"/>
      <c r="AC58" s="3"/>
      <c r="AD58" s="3"/>
      <c r="AE58" s="3"/>
    </row>
    <row r="59" ht="16.5" customHeight="1">
      <c r="A59" s="39"/>
      <c r="B59" s="40"/>
      <c r="C59" s="32"/>
      <c r="D59" s="32"/>
      <c r="E59" s="33"/>
      <c r="F59" s="34"/>
      <c r="G59" s="35"/>
      <c r="H59" s="36"/>
      <c r="I59" s="37"/>
      <c r="J59" s="38"/>
      <c r="K59" s="36"/>
      <c r="L59" s="38"/>
      <c r="M59" s="36"/>
      <c r="N59" s="38"/>
      <c r="O59" s="36"/>
      <c r="P59" s="38"/>
      <c r="Q59" s="36"/>
      <c r="R59" s="38"/>
      <c r="S59" s="36"/>
      <c r="T59" s="38"/>
      <c r="U59" s="36"/>
      <c r="V59" s="38"/>
      <c r="W59" s="36"/>
      <c r="X59" s="38"/>
      <c r="Y59" s="36"/>
      <c r="Z59" s="36"/>
      <c r="AA59" s="38"/>
      <c r="AB59" s="36"/>
      <c r="AC59" s="3"/>
      <c r="AD59" s="3"/>
      <c r="AE59" s="3"/>
    </row>
    <row r="60" ht="16.5" customHeight="1">
      <c r="A60" s="30" t="s">
        <v>40</v>
      </c>
      <c r="B60" s="31" t="str">
        <f>VLOOKUP(A60,Lenker!$A$2:$B$22,2,FALSE)</f>
        <v>#N/A</v>
      </c>
      <c r="C60" s="32"/>
      <c r="D60" s="32"/>
      <c r="E60" s="33"/>
      <c r="F60" s="34"/>
      <c r="G60" s="35"/>
      <c r="H60" s="36"/>
      <c r="I60" s="37"/>
      <c r="J60" s="38"/>
      <c r="K60" s="36"/>
      <c r="L60" s="38"/>
      <c r="M60" s="36"/>
      <c r="N60" s="38"/>
      <c r="O60" s="36"/>
      <c r="P60" s="38"/>
      <c r="Q60" s="36"/>
      <c r="R60" s="38"/>
      <c r="S60" s="36"/>
      <c r="T60" s="38"/>
      <c r="U60" s="36"/>
      <c r="V60" s="38"/>
      <c r="W60" s="36"/>
      <c r="X60" s="38"/>
      <c r="Y60" s="36"/>
      <c r="Z60" s="36"/>
      <c r="AA60" s="38"/>
      <c r="AB60" s="36"/>
      <c r="AC60" s="3"/>
      <c r="AD60" s="3"/>
      <c r="AE60" s="3"/>
    </row>
    <row r="61" ht="16.5" customHeight="1">
      <c r="A61" s="39"/>
      <c r="B61" s="40"/>
      <c r="C61" s="32"/>
      <c r="D61" s="32"/>
      <c r="E61" s="33"/>
      <c r="F61" s="34"/>
      <c r="G61" s="35"/>
      <c r="H61" s="36"/>
      <c r="I61" s="37"/>
      <c r="J61" s="38"/>
      <c r="K61" s="36"/>
      <c r="L61" s="38"/>
      <c r="M61" s="36"/>
      <c r="N61" s="38"/>
      <c r="O61" s="36"/>
      <c r="P61" s="38"/>
      <c r="Q61" s="36"/>
      <c r="R61" s="38"/>
      <c r="S61" s="36"/>
      <c r="T61" s="38"/>
      <c r="U61" s="36"/>
      <c r="V61" s="38"/>
      <c r="W61" s="36"/>
      <c r="X61" s="38"/>
      <c r="Y61" s="36"/>
      <c r="Z61" s="36"/>
      <c r="AA61" s="38"/>
      <c r="AB61" s="36"/>
      <c r="AC61" s="3"/>
      <c r="AD61" s="3"/>
      <c r="AE61" s="3"/>
    </row>
    <row r="62" ht="16.5" customHeight="1">
      <c r="A62" s="30" t="s">
        <v>41</v>
      </c>
      <c r="B62" s="31" t="str">
        <f>VLOOKUP(A62,Lenker!$A$2:$B$22,2,FALSE)</f>
        <v>#N/A</v>
      </c>
      <c r="C62" s="32"/>
      <c r="D62" s="32"/>
      <c r="E62" s="33"/>
      <c r="F62" s="34"/>
      <c r="G62" s="35"/>
      <c r="H62" s="36"/>
      <c r="I62" s="37"/>
      <c r="J62" s="38"/>
      <c r="K62" s="36"/>
      <c r="L62" s="38"/>
      <c r="M62" s="36"/>
      <c r="N62" s="38"/>
      <c r="O62" s="36"/>
      <c r="P62" s="38"/>
      <c r="Q62" s="36"/>
      <c r="R62" s="38"/>
      <c r="S62" s="36"/>
      <c r="T62" s="38"/>
      <c r="U62" s="36"/>
      <c r="V62" s="38"/>
      <c r="W62" s="36"/>
      <c r="X62" s="38"/>
      <c r="Y62" s="36"/>
      <c r="Z62" s="36"/>
      <c r="AA62" s="38"/>
      <c r="AB62" s="36"/>
      <c r="AC62" s="3"/>
      <c r="AD62" s="3"/>
      <c r="AE62" s="3"/>
    </row>
    <row r="63" ht="16.5" customHeight="1">
      <c r="A63" s="39"/>
      <c r="B63" s="40"/>
      <c r="C63" s="32"/>
      <c r="D63" s="32"/>
      <c r="E63" s="33"/>
      <c r="F63" s="34"/>
      <c r="G63" s="35"/>
      <c r="H63" s="36"/>
      <c r="I63" s="37"/>
      <c r="J63" s="38"/>
      <c r="K63" s="36"/>
      <c r="L63" s="38"/>
      <c r="M63" s="36"/>
      <c r="N63" s="38"/>
      <c r="O63" s="36"/>
      <c r="P63" s="38"/>
      <c r="Q63" s="36"/>
      <c r="R63" s="38"/>
      <c r="S63" s="36"/>
      <c r="T63" s="38"/>
      <c r="U63" s="36"/>
      <c r="V63" s="38"/>
      <c r="W63" s="36"/>
      <c r="X63" s="38"/>
      <c r="Y63" s="36"/>
      <c r="Z63" s="36"/>
      <c r="AA63" s="38"/>
      <c r="AB63" s="36"/>
      <c r="AC63" s="3"/>
      <c r="AD63" s="3"/>
      <c r="AE63" s="3"/>
    </row>
    <row r="64" ht="16.5" customHeight="1">
      <c r="A64" s="30" t="s">
        <v>42</v>
      </c>
      <c r="B64" s="31" t="str">
        <f>VLOOKUP(A64,Lenker!$A$2:$B$22,2,FALSE)</f>
        <v>#N/A</v>
      </c>
      <c r="C64" s="32"/>
      <c r="D64" s="32"/>
      <c r="E64" s="33"/>
      <c r="F64" s="34"/>
      <c r="G64" s="35"/>
      <c r="H64" s="36"/>
      <c r="I64" s="37"/>
      <c r="J64" s="38"/>
      <c r="K64" s="36"/>
      <c r="L64" s="38"/>
      <c r="M64" s="36"/>
      <c r="N64" s="38"/>
      <c r="O64" s="36"/>
      <c r="P64" s="38"/>
      <c r="Q64" s="36"/>
      <c r="R64" s="38"/>
      <c r="S64" s="36"/>
      <c r="T64" s="38"/>
      <c r="U64" s="36"/>
      <c r="V64" s="38"/>
      <c r="W64" s="36"/>
      <c r="X64" s="38"/>
      <c r="Y64" s="36"/>
      <c r="Z64" s="36"/>
      <c r="AA64" s="38"/>
      <c r="AB64" s="36"/>
      <c r="AC64" s="3"/>
      <c r="AD64" s="3"/>
      <c r="AE64" s="3"/>
    </row>
    <row r="65" ht="16.5" customHeight="1">
      <c r="A65" s="39"/>
      <c r="B65" s="40"/>
      <c r="C65" s="32"/>
      <c r="D65" s="32"/>
      <c r="E65" s="33"/>
      <c r="F65" s="34"/>
      <c r="G65" s="35"/>
      <c r="H65" s="36"/>
      <c r="I65" s="37"/>
      <c r="J65" s="38"/>
      <c r="K65" s="36"/>
      <c r="L65" s="38"/>
      <c r="M65" s="36"/>
      <c r="N65" s="38"/>
      <c r="O65" s="36"/>
      <c r="P65" s="38"/>
      <c r="Q65" s="36"/>
      <c r="R65" s="38"/>
      <c r="S65" s="36"/>
      <c r="T65" s="38"/>
      <c r="U65" s="36"/>
      <c r="V65" s="38"/>
      <c r="W65" s="36"/>
      <c r="X65" s="38"/>
      <c r="Y65" s="36"/>
      <c r="Z65" s="36"/>
      <c r="AA65" s="38"/>
      <c r="AB65" s="36"/>
      <c r="AC65" s="3"/>
      <c r="AD65" s="3"/>
      <c r="AE65" s="3"/>
    </row>
    <row r="66" ht="16.5" customHeight="1">
      <c r="A66" s="30" t="s">
        <v>43</v>
      </c>
      <c r="B66" s="31" t="str">
        <f>VLOOKUP(A66,Lenker!$A$2:$B$22,2,FALSE)</f>
        <v>#N/A</v>
      </c>
      <c r="C66" s="32"/>
      <c r="D66" s="32"/>
      <c r="E66" s="33"/>
      <c r="F66" s="34"/>
      <c r="G66" s="35"/>
      <c r="H66" s="36"/>
      <c r="I66" s="37"/>
      <c r="J66" s="38"/>
      <c r="K66" s="36"/>
      <c r="L66" s="38"/>
      <c r="M66" s="36"/>
      <c r="N66" s="38"/>
      <c r="O66" s="36"/>
      <c r="P66" s="38"/>
      <c r="Q66" s="36"/>
      <c r="R66" s="38"/>
      <c r="S66" s="36"/>
      <c r="T66" s="38"/>
      <c r="U66" s="36"/>
      <c r="V66" s="38"/>
      <c r="W66" s="36"/>
      <c r="X66" s="38"/>
      <c r="Y66" s="36"/>
      <c r="Z66" s="36"/>
      <c r="AA66" s="38"/>
      <c r="AB66" s="36"/>
      <c r="AC66" s="3"/>
      <c r="AD66" s="3"/>
      <c r="AE66" s="3"/>
    </row>
    <row r="67" ht="16.5" customHeight="1">
      <c r="A67" s="39"/>
      <c r="B67" s="40"/>
      <c r="C67" s="32"/>
      <c r="D67" s="32"/>
      <c r="E67" s="33"/>
      <c r="F67" s="34"/>
      <c r="G67" s="35"/>
      <c r="H67" s="36"/>
      <c r="I67" s="37"/>
      <c r="J67" s="38"/>
      <c r="K67" s="36"/>
      <c r="L67" s="38"/>
      <c r="M67" s="36"/>
      <c r="N67" s="38"/>
      <c r="O67" s="36"/>
      <c r="P67" s="38"/>
      <c r="Q67" s="36"/>
      <c r="R67" s="38"/>
      <c r="S67" s="36"/>
      <c r="T67" s="38"/>
      <c r="U67" s="36"/>
      <c r="V67" s="38"/>
      <c r="W67" s="36"/>
      <c r="X67" s="38"/>
      <c r="Y67" s="36"/>
      <c r="Z67" s="36"/>
      <c r="AA67" s="38"/>
      <c r="AB67" s="36"/>
      <c r="AC67" s="3"/>
      <c r="AD67" s="3"/>
      <c r="AE67" s="3"/>
    </row>
    <row r="68" ht="16.5" customHeight="1">
      <c r="A68" s="30" t="s">
        <v>44</v>
      </c>
      <c r="B68" s="31" t="str">
        <f>VLOOKUP(A68,Lenker!$A$2:$B$22,2,FALSE)</f>
        <v>#N/A</v>
      </c>
      <c r="C68" s="32"/>
      <c r="D68" s="32"/>
      <c r="E68" s="33"/>
      <c r="F68" s="34"/>
      <c r="G68" s="35"/>
      <c r="H68" s="36"/>
      <c r="I68" s="37"/>
      <c r="J68" s="38"/>
      <c r="K68" s="36"/>
      <c r="L68" s="38"/>
      <c r="M68" s="36"/>
      <c r="N68" s="38"/>
      <c r="O68" s="36"/>
      <c r="P68" s="38"/>
      <c r="Q68" s="36"/>
      <c r="R68" s="38"/>
      <c r="S68" s="36"/>
      <c r="T68" s="38"/>
      <c r="U68" s="36"/>
      <c r="V68" s="38"/>
      <c r="W68" s="36"/>
      <c r="X68" s="38"/>
      <c r="Y68" s="36"/>
      <c r="Z68" s="36"/>
      <c r="AA68" s="38"/>
      <c r="AB68" s="36"/>
      <c r="AC68" s="3"/>
      <c r="AD68" s="3"/>
      <c r="AE68" s="3"/>
    </row>
    <row r="69" ht="16.5" customHeight="1">
      <c r="A69" s="39"/>
      <c r="B69" s="40"/>
      <c r="C69" s="32"/>
      <c r="D69" s="32"/>
      <c r="E69" s="33"/>
      <c r="F69" s="34"/>
      <c r="G69" s="35"/>
      <c r="H69" s="36"/>
      <c r="I69" s="37"/>
      <c r="J69" s="38"/>
      <c r="K69" s="36"/>
      <c r="L69" s="38"/>
      <c r="M69" s="36"/>
      <c r="N69" s="38"/>
      <c r="O69" s="36"/>
      <c r="P69" s="38"/>
      <c r="Q69" s="36"/>
      <c r="R69" s="38"/>
      <c r="S69" s="36"/>
      <c r="T69" s="38"/>
      <c r="U69" s="36"/>
      <c r="V69" s="38"/>
      <c r="W69" s="36"/>
      <c r="X69" s="38"/>
      <c r="Y69" s="36"/>
      <c r="Z69" s="36"/>
      <c r="AA69" s="38"/>
      <c r="AB69" s="36"/>
      <c r="AC69" s="3"/>
      <c r="AD69" s="3"/>
      <c r="AE69" s="3"/>
    </row>
    <row r="70" ht="16.5" customHeight="1">
      <c r="A70" s="30" t="s">
        <v>45</v>
      </c>
      <c r="B70" s="31" t="str">
        <f>VLOOKUP(A70,Lenker!$A$2:$B$22,2,FALSE)</f>
        <v>#N/A</v>
      </c>
      <c r="C70" s="32"/>
      <c r="D70" s="32"/>
      <c r="E70" s="33"/>
      <c r="F70" s="34"/>
      <c r="G70" s="35"/>
      <c r="H70" s="36"/>
      <c r="I70" s="37"/>
      <c r="J70" s="38"/>
      <c r="K70" s="36"/>
      <c r="L70" s="38"/>
      <c r="M70" s="36"/>
      <c r="N70" s="38"/>
      <c r="O70" s="36"/>
      <c r="P70" s="38"/>
      <c r="Q70" s="36"/>
      <c r="R70" s="38"/>
      <c r="S70" s="36"/>
      <c r="T70" s="38"/>
      <c r="U70" s="36"/>
      <c r="V70" s="38"/>
      <c r="W70" s="36"/>
      <c r="X70" s="38"/>
      <c r="Y70" s="36"/>
      <c r="Z70" s="36"/>
      <c r="AA70" s="38"/>
      <c r="AB70" s="36"/>
      <c r="AC70" s="3"/>
      <c r="AD70" s="3"/>
      <c r="AE70" s="3"/>
    </row>
    <row r="71" ht="16.5" customHeight="1">
      <c r="A71" s="39"/>
      <c r="B71" s="40"/>
      <c r="C71" s="32"/>
      <c r="D71" s="32"/>
      <c r="E71" s="33"/>
      <c r="F71" s="34"/>
      <c r="G71" s="35"/>
      <c r="H71" s="36"/>
      <c r="I71" s="37"/>
      <c r="J71" s="38"/>
      <c r="K71" s="36"/>
      <c r="L71" s="38"/>
      <c r="M71" s="36"/>
      <c r="N71" s="38"/>
      <c r="O71" s="36"/>
      <c r="P71" s="38"/>
      <c r="Q71" s="36"/>
      <c r="R71" s="38"/>
      <c r="S71" s="36"/>
      <c r="T71" s="38"/>
      <c r="U71" s="36"/>
      <c r="V71" s="38"/>
      <c r="W71" s="36"/>
      <c r="X71" s="38"/>
      <c r="Y71" s="36"/>
      <c r="Z71" s="36"/>
      <c r="AA71" s="38"/>
      <c r="AB71" s="36"/>
      <c r="AC71" s="3"/>
      <c r="AD71" s="3"/>
      <c r="AE71" s="3"/>
    </row>
    <row r="72" ht="16.5" customHeight="1">
      <c r="A72" s="30" t="s">
        <v>46</v>
      </c>
      <c r="B72" s="31" t="str">
        <f>VLOOKUP(A72,Lenker!$A$2:$B$22,2,FALSE)</f>
        <v>#N/A</v>
      </c>
      <c r="C72" s="32"/>
      <c r="D72" s="32"/>
      <c r="E72" s="33"/>
      <c r="F72" s="34"/>
      <c r="G72" s="35"/>
      <c r="H72" s="36"/>
      <c r="I72" s="37"/>
      <c r="J72" s="38"/>
      <c r="K72" s="36"/>
      <c r="L72" s="38"/>
      <c r="M72" s="36"/>
      <c r="N72" s="38"/>
      <c r="O72" s="36"/>
      <c r="P72" s="38"/>
      <c r="Q72" s="36"/>
      <c r="R72" s="38"/>
      <c r="S72" s="36"/>
      <c r="T72" s="38"/>
      <c r="U72" s="36"/>
      <c r="V72" s="38"/>
      <c r="W72" s="36"/>
      <c r="X72" s="38"/>
      <c r="Y72" s="36"/>
      <c r="Z72" s="36"/>
      <c r="AA72" s="38"/>
      <c r="AB72" s="36"/>
      <c r="AC72" s="3"/>
      <c r="AD72" s="3"/>
      <c r="AE72" s="3"/>
    </row>
    <row r="73" ht="16.5" customHeight="1">
      <c r="A73" s="39"/>
      <c r="B73" s="40"/>
      <c r="C73" s="32"/>
      <c r="D73" s="32"/>
      <c r="E73" s="33"/>
      <c r="F73" s="34"/>
      <c r="G73" s="35"/>
      <c r="H73" s="36"/>
      <c r="I73" s="37"/>
      <c r="J73" s="38"/>
      <c r="K73" s="36"/>
      <c r="L73" s="38"/>
      <c r="M73" s="36"/>
      <c r="N73" s="38"/>
      <c r="O73" s="36"/>
      <c r="P73" s="38"/>
      <c r="Q73" s="36"/>
      <c r="R73" s="38"/>
      <c r="S73" s="36"/>
      <c r="T73" s="38"/>
      <c r="U73" s="36"/>
      <c r="V73" s="38"/>
      <c r="W73" s="36"/>
      <c r="X73" s="38"/>
      <c r="Y73" s="36"/>
      <c r="Z73" s="36"/>
      <c r="AA73" s="38"/>
      <c r="AB73" s="36"/>
      <c r="AC73" s="3"/>
      <c r="AD73" s="3"/>
      <c r="AE73" s="3"/>
    </row>
    <row r="74" ht="16.5" customHeight="1">
      <c r="A74" s="30" t="s">
        <v>47</v>
      </c>
      <c r="B74" s="31" t="str">
        <f>VLOOKUP(A74,Lenker!$A$2:$B$22,2,FALSE)</f>
        <v>#N/A</v>
      </c>
      <c r="C74" s="32"/>
      <c r="D74" s="32"/>
      <c r="E74" s="33"/>
      <c r="F74" s="34"/>
      <c r="G74" s="35"/>
      <c r="H74" s="36"/>
      <c r="I74" s="37"/>
      <c r="J74" s="38"/>
      <c r="K74" s="36"/>
      <c r="L74" s="38"/>
      <c r="M74" s="36"/>
      <c r="N74" s="38"/>
      <c r="O74" s="36"/>
      <c r="P74" s="38"/>
      <c r="Q74" s="36"/>
      <c r="R74" s="38"/>
      <c r="S74" s="36"/>
      <c r="T74" s="38"/>
      <c r="U74" s="36"/>
      <c r="V74" s="38"/>
      <c r="W74" s="36"/>
      <c r="X74" s="38"/>
      <c r="Y74" s="36"/>
      <c r="Z74" s="36"/>
      <c r="AA74" s="38"/>
      <c r="AB74" s="36"/>
      <c r="AC74" s="3"/>
      <c r="AD74" s="3"/>
      <c r="AE74" s="3"/>
    </row>
    <row r="75" ht="16.5" customHeight="1">
      <c r="A75" s="39"/>
      <c r="B75" s="40"/>
      <c r="C75" s="32"/>
      <c r="D75" s="32"/>
      <c r="E75" s="33"/>
      <c r="F75" s="34"/>
      <c r="G75" s="35"/>
      <c r="H75" s="36"/>
      <c r="I75" s="37"/>
      <c r="J75" s="38"/>
      <c r="K75" s="36"/>
      <c r="L75" s="38"/>
      <c r="M75" s="36"/>
      <c r="N75" s="38"/>
      <c r="O75" s="36"/>
      <c r="P75" s="38"/>
      <c r="Q75" s="36"/>
      <c r="R75" s="38"/>
      <c r="S75" s="36"/>
      <c r="T75" s="38"/>
      <c r="U75" s="36"/>
      <c r="V75" s="38"/>
      <c r="W75" s="36"/>
      <c r="X75" s="38"/>
      <c r="Y75" s="36"/>
      <c r="Z75" s="36"/>
      <c r="AA75" s="38"/>
      <c r="AB75" s="36"/>
      <c r="AC75" s="3"/>
      <c r="AD75" s="3"/>
      <c r="AE75" s="3"/>
    </row>
    <row r="76" ht="16.5" customHeight="1">
      <c r="A76" s="30" t="s">
        <v>48</v>
      </c>
      <c r="B76" s="31" t="str">
        <f>VLOOKUP(A76,Lenker!$A$2:$B$22,2,FALSE)</f>
        <v>#N/A</v>
      </c>
      <c r="C76" s="32"/>
      <c r="D76" s="32"/>
      <c r="E76" s="33"/>
      <c r="F76" s="34"/>
      <c r="G76" s="35"/>
      <c r="H76" s="36"/>
      <c r="I76" s="37"/>
      <c r="J76" s="38"/>
      <c r="K76" s="36"/>
      <c r="L76" s="38"/>
      <c r="M76" s="36"/>
      <c r="N76" s="38"/>
      <c r="O76" s="36"/>
      <c r="P76" s="38"/>
      <c r="Q76" s="36"/>
      <c r="R76" s="38"/>
      <c r="S76" s="36"/>
      <c r="T76" s="38"/>
      <c r="U76" s="36"/>
      <c r="V76" s="38"/>
      <c r="W76" s="36"/>
      <c r="X76" s="38"/>
      <c r="Y76" s="36"/>
      <c r="Z76" s="36"/>
      <c r="AA76" s="38"/>
      <c r="AB76" s="36"/>
      <c r="AC76" s="3"/>
      <c r="AD76" s="3"/>
      <c r="AE76" s="3"/>
    </row>
    <row r="77" ht="16.5" customHeight="1">
      <c r="A77" s="39"/>
      <c r="B77" s="40"/>
      <c r="C77" s="32"/>
      <c r="D77" s="32"/>
      <c r="E77" s="33"/>
      <c r="F77" s="34"/>
      <c r="G77" s="35"/>
      <c r="H77" s="36"/>
      <c r="I77" s="37"/>
      <c r="J77" s="38"/>
      <c r="K77" s="36"/>
      <c r="L77" s="38"/>
      <c r="M77" s="36"/>
      <c r="N77" s="38"/>
      <c r="O77" s="36"/>
      <c r="P77" s="38"/>
      <c r="Q77" s="36"/>
      <c r="R77" s="38"/>
      <c r="S77" s="36"/>
      <c r="T77" s="38"/>
      <c r="U77" s="36"/>
      <c r="V77" s="38"/>
      <c r="W77" s="36"/>
      <c r="X77" s="38"/>
      <c r="Y77" s="36"/>
      <c r="Z77" s="36"/>
      <c r="AA77" s="38"/>
      <c r="AB77" s="36"/>
      <c r="AC77" s="3"/>
      <c r="AD77" s="3"/>
      <c r="AE77" s="3"/>
    </row>
    <row r="78" ht="16.5" customHeight="1">
      <c r="A78" s="30" t="s">
        <v>49</v>
      </c>
      <c r="B78" s="31" t="str">
        <f>VLOOKUP(A78,Lenker!$A$2:$B$22,2,FALSE)</f>
        <v>#N/A</v>
      </c>
      <c r="C78" s="32"/>
      <c r="D78" s="32"/>
      <c r="E78" s="33"/>
      <c r="F78" s="34"/>
      <c r="G78" s="35"/>
      <c r="H78" s="36"/>
      <c r="I78" s="37"/>
      <c r="J78" s="38"/>
      <c r="K78" s="36"/>
      <c r="L78" s="38"/>
      <c r="M78" s="36"/>
      <c r="N78" s="38"/>
      <c r="O78" s="36"/>
      <c r="P78" s="38"/>
      <c r="Q78" s="36"/>
      <c r="R78" s="38"/>
      <c r="S78" s="36"/>
      <c r="T78" s="38"/>
      <c r="U78" s="36"/>
      <c r="V78" s="38"/>
      <c r="W78" s="36"/>
      <c r="X78" s="38"/>
      <c r="Y78" s="36"/>
      <c r="Z78" s="36"/>
      <c r="AA78" s="38"/>
      <c r="AB78" s="36"/>
      <c r="AC78" s="3"/>
      <c r="AD78" s="3"/>
      <c r="AE78" s="3"/>
    </row>
    <row r="79" ht="16.5" customHeight="1">
      <c r="A79" s="39"/>
      <c r="B79" s="40"/>
      <c r="C79" s="32"/>
      <c r="D79" s="32"/>
      <c r="E79" s="33"/>
      <c r="F79" s="34"/>
      <c r="G79" s="35"/>
      <c r="H79" s="36"/>
      <c r="I79" s="37"/>
      <c r="J79" s="38"/>
      <c r="K79" s="36"/>
      <c r="L79" s="38"/>
      <c r="M79" s="36"/>
      <c r="N79" s="38"/>
      <c r="O79" s="36"/>
      <c r="P79" s="38"/>
      <c r="Q79" s="36"/>
      <c r="R79" s="38"/>
      <c r="S79" s="36"/>
      <c r="T79" s="38"/>
      <c r="U79" s="36"/>
      <c r="V79" s="38"/>
      <c r="W79" s="36"/>
      <c r="X79" s="38"/>
      <c r="Y79" s="36"/>
      <c r="Z79" s="36"/>
      <c r="AA79" s="38"/>
      <c r="AB79" s="36"/>
      <c r="AC79" s="3"/>
      <c r="AD79" s="3"/>
      <c r="AE79" s="3"/>
    </row>
    <row r="80" ht="16.5" customHeight="1">
      <c r="A80" s="30" t="s">
        <v>50</v>
      </c>
      <c r="B80" s="31" t="str">
        <f>VLOOKUP(A80,Lenker!$A$2:$B$22,2,FALSE)</f>
        <v>#N/A</v>
      </c>
      <c r="C80" s="32"/>
      <c r="D80" s="32"/>
      <c r="E80" s="33"/>
      <c r="F80" s="34"/>
      <c r="G80" s="35"/>
      <c r="H80" s="36"/>
      <c r="I80" s="37"/>
      <c r="J80" s="38"/>
      <c r="K80" s="36"/>
      <c r="L80" s="38"/>
      <c r="M80" s="36"/>
      <c r="N80" s="38"/>
      <c r="O80" s="36"/>
      <c r="P80" s="38"/>
      <c r="Q80" s="36"/>
      <c r="R80" s="38"/>
      <c r="S80" s="36"/>
      <c r="T80" s="38"/>
      <c r="U80" s="36"/>
      <c r="V80" s="38"/>
      <c r="W80" s="36"/>
      <c r="X80" s="38"/>
      <c r="Y80" s="36"/>
      <c r="Z80" s="36"/>
      <c r="AA80" s="38"/>
      <c r="AB80" s="36"/>
      <c r="AC80" s="3"/>
      <c r="AD80" s="3"/>
      <c r="AE80" s="3"/>
    </row>
    <row r="81" ht="16.5" customHeight="1">
      <c r="A81" s="39"/>
      <c r="B81" s="40"/>
      <c r="C81" s="32"/>
      <c r="D81" s="32"/>
      <c r="E81" s="33"/>
      <c r="F81" s="34"/>
      <c r="G81" s="35"/>
      <c r="H81" s="36"/>
      <c r="I81" s="37"/>
      <c r="J81" s="38"/>
      <c r="K81" s="36"/>
      <c r="L81" s="38"/>
      <c r="M81" s="36"/>
      <c r="N81" s="38"/>
      <c r="O81" s="36"/>
      <c r="P81" s="38"/>
      <c r="Q81" s="36"/>
      <c r="R81" s="38"/>
      <c r="S81" s="36"/>
      <c r="T81" s="38"/>
      <c r="U81" s="36"/>
      <c r="V81" s="38"/>
      <c r="W81" s="36"/>
      <c r="X81" s="38"/>
      <c r="Y81" s="36"/>
      <c r="Z81" s="36"/>
      <c r="AA81" s="38"/>
      <c r="AB81" s="36"/>
      <c r="AC81" s="3"/>
      <c r="AD81" s="3"/>
      <c r="AE81" s="3"/>
    </row>
    <row r="82" ht="16.5" customHeight="1">
      <c r="A82" s="30" t="s">
        <v>51</v>
      </c>
      <c r="B82" s="31" t="str">
        <f>VLOOKUP(A82,Lenker!$A$2:$B$22,2,FALSE)</f>
        <v>#N/A</v>
      </c>
      <c r="C82" s="32"/>
      <c r="D82" s="32"/>
      <c r="E82" s="33"/>
      <c r="F82" s="34"/>
      <c r="G82" s="35"/>
      <c r="H82" s="36"/>
      <c r="I82" s="37"/>
      <c r="J82" s="38"/>
      <c r="K82" s="36"/>
      <c r="L82" s="38"/>
      <c r="M82" s="36"/>
      <c r="N82" s="38"/>
      <c r="O82" s="36"/>
      <c r="P82" s="38"/>
      <c r="Q82" s="36"/>
      <c r="R82" s="38"/>
      <c r="S82" s="36"/>
      <c r="T82" s="38"/>
      <c r="U82" s="36"/>
      <c r="V82" s="38"/>
      <c r="W82" s="36"/>
      <c r="X82" s="38"/>
      <c r="Y82" s="36"/>
      <c r="Z82" s="36"/>
      <c r="AA82" s="38"/>
      <c r="AB82" s="36"/>
      <c r="AC82" s="3"/>
      <c r="AD82" s="3"/>
      <c r="AE82" s="3"/>
    </row>
    <row r="83" ht="16.5" customHeight="1">
      <c r="A83" s="39"/>
      <c r="B83" s="40"/>
      <c r="C83" s="41"/>
      <c r="D83" s="41"/>
      <c r="E83" s="42"/>
      <c r="F83" s="43"/>
      <c r="G83" s="44"/>
      <c r="H83" s="45"/>
      <c r="I83" s="46"/>
      <c r="J83" s="47"/>
      <c r="K83" s="45"/>
      <c r="L83" s="47"/>
      <c r="M83" s="45"/>
      <c r="N83" s="47"/>
      <c r="O83" s="45"/>
      <c r="P83" s="47"/>
      <c r="Q83" s="45"/>
      <c r="R83" s="47"/>
      <c r="S83" s="45"/>
      <c r="T83" s="47"/>
      <c r="U83" s="45"/>
      <c r="V83" s="47"/>
      <c r="W83" s="45"/>
      <c r="X83" s="47"/>
      <c r="Y83" s="45"/>
      <c r="Z83" s="45"/>
      <c r="AA83" s="47"/>
      <c r="AB83" s="45"/>
      <c r="AC83" s="3"/>
      <c r="AD83" s="3"/>
      <c r="AE83" s="3"/>
    </row>
    <row r="84" ht="16.5" customHeight="1">
      <c r="A84" s="30" t="s">
        <v>52</v>
      </c>
      <c r="B84" s="31" t="str">
        <f>VLOOKUP(A84,Lenker!$A$2:$B$22,2,FALSE)</f>
        <v>#N/A</v>
      </c>
      <c r="C84" s="41"/>
      <c r="D84" s="41"/>
      <c r="E84" s="42"/>
      <c r="F84" s="43"/>
      <c r="G84" s="44"/>
      <c r="H84" s="45"/>
      <c r="I84" s="46"/>
      <c r="J84" s="47"/>
      <c r="K84" s="45"/>
      <c r="L84" s="47"/>
      <c r="M84" s="45"/>
      <c r="N84" s="47"/>
      <c r="O84" s="45"/>
      <c r="P84" s="47"/>
      <c r="Q84" s="45"/>
      <c r="R84" s="47"/>
      <c r="S84" s="45"/>
      <c r="T84" s="47"/>
      <c r="U84" s="45"/>
      <c r="V84" s="47"/>
      <c r="W84" s="45"/>
      <c r="X84" s="47"/>
      <c r="Y84" s="45"/>
      <c r="Z84" s="45"/>
      <c r="AA84" s="47"/>
      <c r="AB84" s="45"/>
      <c r="AC84" s="3"/>
      <c r="AD84" s="3"/>
      <c r="AE84" s="3"/>
    </row>
    <row r="85" ht="16.5" customHeight="1">
      <c r="A85" s="48"/>
      <c r="B85" s="49"/>
      <c r="C85" s="50"/>
      <c r="D85" s="50"/>
      <c r="E85" s="51"/>
      <c r="F85" s="52"/>
      <c r="G85" s="53"/>
      <c r="H85" s="54"/>
      <c r="I85" s="55"/>
      <c r="J85" s="56"/>
      <c r="K85" s="54"/>
      <c r="L85" s="56"/>
      <c r="M85" s="54"/>
      <c r="N85" s="56"/>
      <c r="O85" s="54"/>
      <c r="P85" s="56"/>
      <c r="Q85" s="54"/>
      <c r="R85" s="56"/>
      <c r="S85" s="54"/>
      <c r="T85" s="56"/>
      <c r="U85" s="54"/>
      <c r="V85" s="56"/>
      <c r="W85" s="54"/>
      <c r="X85" s="56"/>
      <c r="Y85" s="54"/>
      <c r="Z85" s="54"/>
      <c r="AA85" s="56"/>
      <c r="AB85" s="54"/>
      <c r="AC85" s="3"/>
      <c r="AD85" s="3"/>
      <c r="AE85" s="3"/>
    </row>
    <row r="86" ht="16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ht="16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ht="16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7:$A$85"/>
  <mergeCells count="79">
    <mergeCell ref="A48:A49"/>
    <mergeCell ref="A50:A51"/>
    <mergeCell ref="A52:A53"/>
    <mergeCell ref="A54:A55"/>
    <mergeCell ref="A56:A57"/>
    <mergeCell ref="A58:A59"/>
    <mergeCell ref="A60:A61"/>
    <mergeCell ref="A76:A77"/>
    <mergeCell ref="A78:A79"/>
    <mergeCell ref="A80:A81"/>
    <mergeCell ref="A82:A83"/>
    <mergeCell ref="A84:A85"/>
    <mergeCell ref="A62:A63"/>
    <mergeCell ref="A64:A65"/>
    <mergeCell ref="A66:A67"/>
    <mergeCell ref="A68:A69"/>
    <mergeCell ref="A70:A71"/>
    <mergeCell ref="A72:A73"/>
    <mergeCell ref="A74:A75"/>
    <mergeCell ref="B78:B79"/>
    <mergeCell ref="B80:B81"/>
    <mergeCell ref="B82:B83"/>
    <mergeCell ref="B84:B85"/>
    <mergeCell ref="B64:B65"/>
    <mergeCell ref="B66:B67"/>
    <mergeCell ref="B68:B69"/>
    <mergeCell ref="B70:B71"/>
    <mergeCell ref="B72:B73"/>
    <mergeCell ref="B74:B75"/>
    <mergeCell ref="B76:B77"/>
    <mergeCell ref="A1:B1"/>
    <mergeCell ref="A8:A9"/>
    <mergeCell ref="B8:B9"/>
    <mergeCell ref="A10:A11"/>
    <mergeCell ref="B10:B11"/>
    <mergeCell ref="A12:A13"/>
    <mergeCell ref="B12:B13"/>
    <mergeCell ref="A14:A15"/>
    <mergeCell ref="B14:B15"/>
    <mergeCell ref="A16:A17"/>
    <mergeCell ref="B16:B17"/>
    <mergeCell ref="A18:A19"/>
    <mergeCell ref="B18:B19"/>
    <mergeCell ref="B20:B21"/>
    <mergeCell ref="A20:A21"/>
    <mergeCell ref="A22:A23"/>
    <mergeCell ref="A24:A25"/>
    <mergeCell ref="A26:A27"/>
    <mergeCell ref="A28:A29"/>
    <mergeCell ref="A30:A31"/>
    <mergeCell ref="A32:A33"/>
    <mergeCell ref="B22:B23"/>
    <mergeCell ref="B24:B25"/>
    <mergeCell ref="B26:B27"/>
    <mergeCell ref="B28:B29"/>
    <mergeCell ref="B30:B31"/>
    <mergeCell ref="B32:B33"/>
    <mergeCell ref="B34:B35"/>
    <mergeCell ref="A34:A35"/>
    <mergeCell ref="A36:A37"/>
    <mergeCell ref="A38:A39"/>
    <mergeCell ref="A40:A41"/>
    <mergeCell ref="A42:A43"/>
    <mergeCell ref="A44:A45"/>
    <mergeCell ref="A46:A47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</mergeCells>
  <conditionalFormatting sqref="F6">
    <cfRule type="cellIs" dxfId="0" priority="1" operator="equal">
      <formula>"Sonntag"</formula>
    </cfRule>
  </conditionalFormatting>
  <conditionalFormatting sqref="F6">
    <cfRule type="cellIs" dxfId="1" priority="2" operator="equal">
      <formula>"Samstag"</formula>
    </cfRule>
  </conditionalFormatting>
  <conditionalFormatting sqref="H6:AB6">
    <cfRule type="cellIs" dxfId="0" priority="3" operator="equal">
      <formula>"Sonntag"</formula>
    </cfRule>
  </conditionalFormatting>
  <conditionalFormatting sqref="H6:AB6">
    <cfRule type="cellIs" dxfId="1" priority="4" operator="equal">
      <formula>"Samstag"</formula>
    </cfRule>
  </conditionalFormatting>
  <dataValidations>
    <dataValidation type="list" allowBlank="1" showErrorMessage="1" sqref="B2">
      <formula1>"Januar,Februar,März,April,Mai,Juni,Juli,August,September,Oktober,November,Dezember"</formula1>
    </dataValidation>
    <dataValidation type="list" allowBlank="1" showErrorMessage="1" sqref="B3">
      <formula1>"2024,2025,2026,2027,2028,2029,2030"</formula1>
    </dataValidation>
  </dataValidations>
  <printOptions/>
  <pageMargins bottom="0.787401575" footer="0.0" header="0.0" left="0.7" right="0.7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14"/>
    <col customWidth="1" min="2" max="6" width="15.71"/>
    <col customWidth="1" min="7" max="7" width="25.71"/>
    <col customWidth="1" min="8" max="8" width="3.71"/>
    <col customWidth="1" min="9" max="12" width="15.71"/>
    <col customWidth="1" min="13" max="26" width="11.43"/>
  </cols>
  <sheetData>
    <row r="1" ht="16.5" customHeight="1">
      <c r="A1" s="57" t="s">
        <v>53</v>
      </c>
      <c r="B1" s="58" t="s">
        <v>8</v>
      </c>
      <c r="C1" s="58" t="s">
        <v>54</v>
      </c>
      <c r="D1" s="58" t="s">
        <v>55</v>
      </c>
      <c r="E1" s="59" t="s">
        <v>56</v>
      </c>
      <c r="F1" s="58" t="s">
        <v>57</v>
      </c>
      <c r="G1" s="60" t="s">
        <v>58</v>
      </c>
      <c r="H1" s="29"/>
      <c r="I1" s="61" t="s">
        <v>59</v>
      </c>
      <c r="J1" s="62" t="s">
        <v>60</v>
      </c>
      <c r="K1" s="62" t="s">
        <v>61</v>
      </c>
      <c r="L1" s="63" t="s">
        <v>62</v>
      </c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6.5" customHeight="1">
      <c r="A2" s="64" t="s">
        <v>63</v>
      </c>
      <c r="B2" s="65" t="s">
        <v>64</v>
      </c>
      <c r="C2" s="66">
        <v>0.4534722222222222</v>
      </c>
      <c r="D2" s="66">
        <v>0.0</v>
      </c>
      <c r="E2" s="67">
        <v>11.0</v>
      </c>
      <c r="F2" s="68" t="s">
        <v>65</v>
      </c>
      <c r="G2" s="69" t="s">
        <v>66</v>
      </c>
      <c r="H2" s="3"/>
      <c r="I2" s="70" t="s">
        <v>64</v>
      </c>
      <c r="J2" s="71" t="s">
        <v>67</v>
      </c>
      <c r="K2" s="71" t="s">
        <v>68</v>
      </c>
      <c r="L2" s="72" t="s">
        <v>69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6.5" customHeight="1">
      <c r="A3" s="64" t="s">
        <v>70</v>
      </c>
      <c r="B3" s="65" t="s">
        <v>68</v>
      </c>
      <c r="C3" s="66">
        <v>0.47152777777777777</v>
      </c>
      <c r="D3" s="66">
        <v>0.0</v>
      </c>
      <c r="E3" s="67">
        <v>11.0</v>
      </c>
      <c r="F3" s="68" t="s">
        <v>65</v>
      </c>
      <c r="G3" s="69" t="s">
        <v>71</v>
      </c>
      <c r="H3" s="3"/>
      <c r="I3" s="73" t="s">
        <v>72</v>
      </c>
      <c r="J3" s="74" t="s">
        <v>73</v>
      </c>
      <c r="K3" s="74" t="s">
        <v>72</v>
      </c>
      <c r="L3" s="75" t="s">
        <v>73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6.5" customHeight="1">
      <c r="A4" s="64" t="s">
        <v>74</v>
      </c>
      <c r="B4" s="65" t="s">
        <v>72</v>
      </c>
      <c r="C4" s="66">
        <v>0.4465277777777778</v>
      </c>
      <c r="D4" s="66">
        <v>0.0</v>
      </c>
      <c r="E4" s="67">
        <v>11.0</v>
      </c>
      <c r="F4" s="68" t="s">
        <v>65</v>
      </c>
      <c r="G4" s="69" t="s">
        <v>75</v>
      </c>
      <c r="H4" s="3"/>
      <c r="I4" s="70" t="s">
        <v>76</v>
      </c>
      <c r="J4" s="71" t="s">
        <v>77</v>
      </c>
      <c r="K4" s="71" t="s">
        <v>76</v>
      </c>
      <c r="L4" s="72" t="s">
        <v>77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6.5" customHeight="1">
      <c r="A5" s="64" t="s">
        <v>78</v>
      </c>
      <c r="B5" s="65" t="s">
        <v>76</v>
      </c>
      <c r="C5" s="66">
        <v>0.4527777777777778</v>
      </c>
      <c r="D5" s="66">
        <v>0.0</v>
      </c>
      <c r="E5" s="67">
        <v>11.0</v>
      </c>
      <c r="F5" s="68" t="s">
        <v>65</v>
      </c>
      <c r="G5" s="69" t="s">
        <v>79</v>
      </c>
      <c r="H5" s="3"/>
      <c r="I5" s="73" t="s">
        <v>80</v>
      </c>
      <c r="J5" s="74" t="s">
        <v>81</v>
      </c>
      <c r="K5" s="74" t="s">
        <v>80</v>
      </c>
      <c r="L5" s="75" t="s">
        <v>81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6.5" customHeight="1">
      <c r="A6" s="64" t="s">
        <v>82</v>
      </c>
      <c r="B6" s="65" t="s">
        <v>80</v>
      </c>
      <c r="C6" s="66">
        <v>0.5041666666666667</v>
      </c>
      <c r="D6" s="66">
        <v>0.0</v>
      </c>
      <c r="E6" s="67">
        <v>12.0</v>
      </c>
      <c r="F6" s="68" t="s">
        <v>65</v>
      </c>
      <c r="G6" s="69" t="s">
        <v>83</v>
      </c>
      <c r="H6" s="3"/>
      <c r="I6" s="70" t="s">
        <v>84</v>
      </c>
      <c r="J6" s="71" t="s">
        <v>85</v>
      </c>
      <c r="K6" s="71" t="s">
        <v>84</v>
      </c>
      <c r="L6" s="72" t="s">
        <v>85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6.5" customHeight="1">
      <c r="A7" s="64" t="s">
        <v>86</v>
      </c>
      <c r="B7" s="65" t="s">
        <v>84</v>
      </c>
      <c r="C7" s="66">
        <v>0.43124999999999997</v>
      </c>
      <c r="D7" s="66">
        <v>0.0</v>
      </c>
      <c r="E7" s="67">
        <v>10.0</v>
      </c>
      <c r="F7" s="68" t="s">
        <v>65</v>
      </c>
      <c r="G7" s="69" t="s">
        <v>87</v>
      </c>
      <c r="H7" s="3"/>
      <c r="I7" s="73" t="s">
        <v>88</v>
      </c>
      <c r="J7" s="74" t="s">
        <v>89</v>
      </c>
      <c r="K7" s="74" t="s">
        <v>88</v>
      </c>
      <c r="L7" s="75" t="s">
        <v>89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6.5" customHeight="1">
      <c r="A8" s="64" t="s">
        <v>90</v>
      </c>
      <c r="B8" s="65" t="s">
        <v>88</v>
      </c>
      <c r="C8" s="66">
        <v>0.45416666666666666</v>
      </c>
      <c r="D8" s="66">
        <v>0.0</v>
      </c>
      <c r="E8" s="67">
        <v>11.0</v>
      </c>
      <c r="F8" s="68" t="s">
        <v>65</v>
      </c>
      <c r="G8" s="69" t="s">
        <v>71</v>
      </c>
      <c r="H8" s="3"/>
      <c r="I8" s="70" t="s">
        <v>91</v>
      </c>
      <c r="J8" s="71" t="s">
        <v>92</v>
      </c>
      <c r="K8" s="71" t="s">
        <v>91</v>
      </c>
      <c r="L8" s="72" t="s">
        <v>92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6.5" customHeight="1">
      <c r="A9" s="64" t="s">
        <v>93</v>
      </c>
      <c r="B9" s="65" t="s">
        <v>91</v>
      </c>
      <c r="C9" s="66">
        <v>0.4534722222222222</v>
      </c>
      <c r="D9" s="66">
        <v>0.0</v>
      </c>
      <c r="E9" s="67">
        <v>11.0</v>
      </c>
      <c r="F9" s="68" t="s">
        <v>65</v>
      </c>
      <c r="G9" s="69" t="s">
        <v>75</v>
      </c>
      <c r="H9" s="3"/>
      <c r="I9" s="73" t="s">
        <v>94</v>
      </c>
      <c r="J9" s="74" t="s">
        <v>95</v>
      </c>
      <c r="K9" s="74" t="s">
        <v>94</v>
      </c>
      <c r="L9" s="75" t="s">
        <v>95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6.5" customHeight="1">
      <c r="A10" s="64" t="s">
        <v>96</v>
      </c>
      <c r="B10" s="65" t="s">
        <v>94</v>
      </c>
      <c r="C10" s="66">
        <v>0.4840277777777778</v>
      </c>
      <c r="D10" s="66">
        <v>0.0</v>
      </c>
      <c r="E10" s="67">
        <v>12.0</v>
      </c>
      <c r="F10" s="68" t="s">
        <v>65</v>
      </c>
      <c r="G10" s="69" t="s">
        <v>97</v>
      </c>
      <c r="H10" s="3"/>
      <c r="I10" s="70" t="s">
        <v>98</v>
      </c>
      <c r="J10" s="71" t="s">
        <v>99</v>
      </c>
      <c r="K10" s="71" t="s">
        <v>98</v>
      </c>
      <c r="L10" s="72" t="s">
        <v>99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6.5" customHeight="1">
      <c r="A11" s="64" t="s">
        <v>100</v>
      </c>
      <c r="B11" s="65" t="s">
        <v>98</v>
      </c>
      <c r="C11" s="66">
        <v>0.4041666666666666</v>
      </c>
      <c r="D11" s="66">
        <v>0.0</v>
      </c>
      <c r="E11" s="67">
        <v>10.0</v>
      </c>
      <c r="F11" s="68" t="s">
        <v>65</v>
      </c>
      <c r="G11" s="69" t="s">
        <v>71</v>
      </c>
      <c r="H11" s="3"/>
      <c r="I11" s="73" t="s">
        <v>101</v>
      </c>
      <c r="J11" s="74" t="s">
        <v>102</v>
      </c>
      <c r="K11" s="74" t="s">
        <v>101</v>
      </c>
      <c r="L11" s="75" t="s">
        <v>102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6.5" customHeight="1">
      <c r="A12" s="64" t="s">
        <v>103</v>
      </c>
      <c r="B12" s="65" t="s">
        <v>101</v>
      </c>
      <c r="C12" s="66">
        <v>0.44930555555555557</v>
      </c>
      <c r="D12" s="66">
        <v>0.0</v>
      </c>
      <c r="E12" s="67">
        <v>11.0</v>
      </c>
      <c r="F12" s="68" t="s">
        <v>65</v>
      </c>
      <c r="G12" s="69" t="s">
        <v>104</v>
      </c>
      <c r="H12" s="3"/>
      <c r="I12" s="70" t="s">
        <v>105</v>
      </c>
      <c r="J12" s="71" t="s">
        <v>106</v>
      </c>
      <c r="K12" s="71" t="s">
        <v>105</v>
      </c>
      <c r="L12" s="72" t="s">
        <v>106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6.5" customHeight="1">
      <c r="A13" s="64" t="s">
        <v>107</v>
      </c>
      <c r="B13" s="65" t="s">
        <v>105</v>
      </c>
      <c r="C13" s="66">
        <v>0.49652777777777773</v>
      </c>
      <c r="D13" s="66">
        <v>0.0</v>
      </c>
      <c r="E13" s="67">
        <v>12.0</v>
      </c>
      <c r="F13" s="68" t="s">
        <v>65</v>
      </c>
      <c r="G13" s="69" t="s">
        <v>108</v>
      </c>
      <c r="H13" s="3"/>
      <c r="I13" s="73" t="s">
        <v>109</v>
      </c>
      <c r="J13" s="74" t="s">
        <v>110</v>
      </c>
      <c r="K13" s="74" t="s">
        <v>109</v>
      </c>
      <c r="L13" s="75" t="s">
        <v>110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customHeight="1">
      <c r="A14" s="64" t="s">
        <v>111</v>
      </c>
      <c r="B14" s="65" t="s">
        <v>109</v>
      </c>
      <c r="C14" s="66">
        <v>0.4791666666666667</v>
      </c>
      <c r="D14" s="66">
        <v>0.0</v>
      </c>
      <c r="E14" s="67">
        <v>11.0</v>
      </c>
      <c r="F14" s="68" t="s">
        <v>65</v>
      </c>
      <c r="G14" s="69" t="s">
        <v>108</v>
      </c>
      <c r="H14" s="3"/>
      <c r="I14" s="70" t="s">
        <v>112</v>
      </c>
      <c r="J14" s="71" t="s">
        <v>113</v>
      </c>
      <c r="K14" s="71" t="s">
        <v>112</v>
      </c>
      <c r="L14" s="72" t="s">
        <v>113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6.5" customHeight="1">
      <c r="A15" s="64" t="s">
        <v>114</v>
      </c>
      <c r="B15" s="65" t="s">
        <v>112</v>
      </c>
      <c r="C15" s="66">
        <v>0.46388888888888885</v>
      </c>
      <c r="D15" s="66">
        <v>0.0</v>
      </c>
      <c r="E15" s="67">
        <v>11.0</v>
      </c>
      <c r="F15" s="68" t="s">
        <v>65</v>
      </c>
      <c r="G15" s="69" t="s">
        <v>71</v>
      </c>
      <c r="H15" s="3"/>
      <c r="I15" s="73" t="s">
        <v>115</v>
      </c>
      <c r="J15" s="74" t="s">
        <v>116</v>
      </c>
      <c r="K15" s="74" t="s">
        <v>115</v>
      </c>
      <c r="L15" s="75" t="s">
        <v>116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6.5" customHeight="1">
      <c r="A16" s="64" t="s">
        <v>117</v>
      </c>
      <c r="B16" s="65" t="s">
        <v>115</v>
      </c>
      <c r="C16" s="66">
        <v>0.38680555555555557</v>
      </c>
      <c r="D16" s="66">
        <v>0.0</v>
      </c>
      <c r="E16" s="67">
        <v>9.0</v>
      </c>
      <c r="F16" s="68" t="s">
        <v>65</v>
      </c>
      <c r="G16" s="69" t="s">
        <v>71</v>
      </c>
      <c r="H16" s="3"/>
      <c r="I16" s="70" t="s">
        <v>118</v>
      </c>
      <c r="J16" s="71" t="s">
        <v>119</v>
      </c>
      <c r="K16" s="71" t="s">
        <v>118</v>
      </c>
      <c r="L16" s="72" t="s">
        <v>119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6.5" customHeight="1">
      <c r="A17" s="64" t="s">
        <v>120</v>
      </c>
      <c r="B17" s="65" t="s">
        <v>118</v>
      </c>
      <c r="C17" s="66">
        <v>0.125</v>
      </c>
      <c r="D17" s="66">
        <v>0.0</v>
      </c>
      <c r="E17" s="67">
        <v>3.0</v>
      </c>
      <c r="F17" s="68" t="s">
        <v>65</v>
      </c>
      <c r="G17" s="69" t="s">
        <v>71</v>
      </c>
      <c r="H17" s="3"/>
      <c r="I17" s="73" t="s">
        <v>121</v>
      </c>
      <c r="J17" s="74" t="s">
        <v>122</v>
      </c>
      <c r="K17" s="74" t="s">
        <v>121</v>
      </c>
      <c r="L17" s="75" t="s">
        <v>122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6.5" customHeight="1">
      <c r="A18" s="64" t="s">
        <v>123</v>
      </c>
      <c r="B18" s="65" t="s">
        <v>121</v>
      </c>
      <c r="C18" s="66">
        <v>0.13055555555555556</v>
      </c>
      <c r="D18" s="66">
        <v>0.0</v>
      </c>
      <c r="E18" s="67">
        <v>3.0</v>
      </c>
      <c r="F18" s="68" t="s">
        <v>65</v>
      </c>
      <c r="G18" s="69" t="s">
        <v>71</v>
      </c>
      <c r="H18" s="3"/>
      <c r="I18" s="70" t="s">
        <v>124</v>
      </c>
      <c r="J18" s="71" t="s">
        <v>125</v>
      </c>
      <c r="K18" s="71" t="s">
        <v>124</v>
      </c>
      <c r="L18" s="72" t="s">
        <v>125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6.5" customHeight="1">
      <c r="A19" s="64" t="s">
        <v>126</v>
      </c>
      <c r="B19" s="65" t="s">
        <v>124</v>
      </c>
      <c r="C19" s="66">
        <v>0.125</v>
      </c>
      <c r="D19" s="66">
        <v>0.0</v>
      </c>
      <c r="E19" s="67">
        <v>3.0</v>
      </c>
      <c r="F19" s="68" t="s">
        <v>65</v>
      </c>
      <c r="G19" s="69" t="s">
        <v>127</v>
      </c>
      <c r="H19" s="3"/>
      <c r="I19" s="73" t="s">
        <v>128</v>
      </c>
      <c r="J19" s="74" t="s">
        <v>129</v>
      </c>
      <c r="K19" s="74" t="s">
        <v>128</v>
      </c>
      <c r="L19" s="75" t="s">
        <v>129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6.5" customHeight="1">
      <c r="A20" s="64" t="s">
        <v>130</v>
      </c>
      <c r="B20" s="65" t="s">
        <v>128</v>
      </c>
      <c r="C20" s="66">
        <v>0.125</v>
      </c>
      <c r="D20" s="66">
        <v>0.0</v>
      </c>
      <c r="E20" s="67">
        <v>3.0</v>
      </c>
      <c r="F20" s="68" t="s">
        <v>65</v>
      </c>
      <c r="G20" s="69" t="s">
        <v>131</v>
      </c>
      <c r="H20" s="3"/>
      <c r="I20" s="70" t="s">
        <v>132</v>
      </c>
      <c r="J20" s="71" t="s">
        <v>133</v>
      </c>
      <c r="K20" s="71" t="s">
        <v>132</v>
      </c>
      <c r="L20" s="72" t="s">
        <v>133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6.5" customHeight="1">
      <c r="A21" s="64" t="s">
        <v>134</v>
      </c>
      <c r="B21" s="65" t="s">
        <v>132</v>
      </c>
      <c r="C21" s="66">
        <v>0.125</v>
      </c>
      <c r="D21" s="66">
        <v>0.0</v>
      </c>
      <c r="E21" s="67">
        <v>3.0</v>
      </c>
      <c r="F21" s="68" t="s">
        <v>65</v>
      </c>
      <c r="G21" s="69" t="s">
        <v>131</v>
      </c>
      <c r="H21" s="3"/>
      <c r="I21" s="73" t="s">
        <v>106</v>
      </c>
      <c r="J21" s="74"/>
      <c r="K21" s="74" t="s">
        <v>106</v>
      </c>
      <c r="L21" s="7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6.5" customHeight="1">
      <c r="A22" s="64" t="s">
        <v>135</v>
      </c>
      <c r="B22" s="65" t="s">
        <v>67</v>
      </c>
      <c r="C22" s="66">
        <v>0.4534722222222222</v>
      </c>
      <c r="D22" s="66">
        <v>0.4534722222222222</v>
      </c>
      <c r="E22" s="67">
        <v>11.0</v>
      </c>
      <c r="F22" s="68" t="s">
        <v>65</v>
      </c>
      <c r="G22" s="69" t="s">
        <v>66</v>
      </c>
      <c r="H22" s="3"/>
      <c r="I22" s="70" t="s">
        <v>110</v>
      </c>
      <c r="J22" s="71"/>
      <c r="K22" s="71" t="s">
        <v>110</v>
      </c>
      <c r="L22" s="7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6.5" customHeight="1">
      <c r="A23" s="64" t="s">
        <v>136</v>
      </c>
      <c r="B23" s="65" t="s">
        <v>69</v>
      </c>
      <c r="C23" s="66">
        <v>0.47152777777777777</v>
      </c>
      <c r="D23" s="66">
        <v>0.47152777777777777</v>
      </c>
      <c r="E23" s="67">
        <v>11.0</v>
      </c>
      <c r="F23" s="68" t="s">
        <v>65</v>
      </c>
      <c r="G23" s="69" t="s">
        <v>71</v>
      </c>
      <c r="H23" s="3"/>
      <c r="I23" s="73" t="s">
        <v>113</v>
      </c>
      <c r="J23" s="74"/>
      <c r="K23" s="74" t="s">
        <v>113</v>
      </c>
      <c r="L23" s="75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customHeight="1">
      <c r="A24" s="64" t="s">
        <v>137</v>
      </c>
      <c r="B24" s="65" t="s">
        <v>73</v>
      </c>
      <c r="C24" s="66">
        <v>0.49513888888888885</v>
      </c>
      <c r="D24" s="66">
        <v>0.49513888888888885</v>
      </c>
      <c r="E24" s="67">
        <v>12.0</v>
      </c>
      <c r="F24" s="68" t="s">
        <v>65</v>
      </c>
      <c r="G24" s="69" t="s">
        <v>75</v>
      </c>
      <c r="H24" s="3"/>
      <c r="I24" s="70" t="s">
        <v>116</v>
      </c>
      <c r="J24" s="71"/>
      <c r="K24" s="71" t="s">
        <v>116</v>
      </c>
      <c r="L24" s="72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.5" customHeight="1">
      <c r="A25" s="64" t="s">
        <v>138</v>
      </c>
      <c r="B25" s="65" t="s">
        <v>77</v>
      </c>
      <c r="C25" s="66">
        <v>0.4791666666666667</v>
      </c>
      <c r="D25" s="66">
        <v>0.4791666666666667</v>
      </c>
      <c r="E25" s="67">
        <v>11.0</v>
      </c>
      <c r="F25" s="68" t="s">
        <v>65</v>
      </c>
      <c r="G25" s="69" t="s">
        <v>79</v>
      </c>
      <c r="H25" s="3"/>
      <c r="I25" s="73" t="s">
        <v>119</v>
      </c>
      <c r="J25" s="74"/>
      <c r="K25" s="74" t="s">
        <v>119</v>
      </c>
      <c r="L25" s="7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6.5" customHeight="1">
      <c r="A26" s="64" t="s">
        <v>139</v>
      </c>
      <c r="B26" s="65" t="s">
        <v>81</v>
      </c>
      <c r="C26" s="66">
        <v>0.43124999999999997</v>
      </c>
      <c r="D26" s="66">
        <v>0.43124999999999997</v>
      </c>
      <c r="E26" s="67">
        <v>10.0</v>
      </c>
      <c r="F26" s="68" t="s">
        <v>65</v>
      </c>
      <c r="G26" s="69" t="s">
        <v>87</v>
      </c>
      <c r="H26" s="3"/>
      <c r="I26" s="70" t="s">
        <v>122</v>
      </c>
      <c r="J26" s="71"/>
      <c r="K26" s="71" t="s">
        <v>122</v>
      </c>
      <c r="L26" s="7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6.5" customHeight="1">
      <c r="A27" s="64" t="s">
        <v>140</v>
      </c>
      <c r="B27" s="65" t="s">
        <v>85</v>
      </c>
      <c r="C27" s="66">
        <v>0.4840277777777778</v>
      </c>
      <c r="D27" s="66">
        <v>0.4840277777777778</v>
      </c>
      <c r="E27" s="67">
        <v>12.0</v>
      </c>
      <c r="F27" s="68" t="s">
        <v>65</v>
      </c>
      <c r="G27" s="69" t="s">
        <v>97</v>
      </c>
      <c r="H27" s="3"/>
      <c r="I27" s="73" t="s">
        <v>125</v>
      </c>
      <c r="J27" s="74"/>
      <c r="K27" s="74" t="s">
        <v>125</v>
      </c>
      <c r="L27" s="7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6.5" customHeight="1">
      <c r="A28" s="64" t="s">
        <v>141</v>
      </c>
      <c r="B28" s="65" t="s">
        <v>89</v>
      </c>
      <c r="C28" s="66">
        <v>0.4215277777777778</v>
      </c>
      <c r="D28" s="66">
        <v>0.4215277777777778</v>
      </c>
      <c r="E28" s="67">
        <v>10.0</v>
      </c>
      <c r="F28" s="68" t="s">
        <v>65</v>
      </c>
      <c r="G28" s="69" t="s">
        <v>104</v>
      </c>
      <c r="H28" s="3"/>
      <c r="I28" s="70" t="s">
        <v>129</v>
      </c>
      <c r="J28" s="71"/>
      <c r="K28" s="71" t="s">
        <v>129</v>
      </c>
      <c r="L28" s="7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6.5" customHeight="1">
      <c r="A29" s="64" t="s">
        <v>142</v>
      </c>
      <c r="B29" s="65" t="s">
        <v>92</v>
      </c>
      <c r="C29" s="66">
        <v>0.4263888888888889</v>
      </c>
      <c r="D29" s="66">
        <v>0.4263888888888889</v>
      </c>
      <c r="E29" s="67">
        <v>11.0</v>
      </c>
      <c r="F29" s="68" t="s">
        <v>65</v>
      </c>
      <c r="G29" s="69" t="s">
        <v>71</v>
      </c>
      <c r="H29" s="3"/>
      <c r="I29" s="76" t="s">
        <v>133</v>
      </c>
      <c r="J29" s="77"/>
      <c r="K29" s="77" t="s">
        <v>133</v>
      </c>
      <c r="L29" s="78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6.5" customHeight="1">
      <c r="A30" s="64" t="s">
        <v>143</v>
      </c>
      <c r="B30" s="65" t="s">
        <v>95</v>
      </c>
      <c r="C30" s="66">
        <v>0.46388888888888885</v>
      </c>
      <c r="D30" s="66">
        <v>0.46388888888888885</v>
      </c>
      <c r="E30" s="67">
        <v>11.0</v>
      </c>
      <c r="F30" s="68" t="s">
        <v>65</v>
      </c>
      <c r="G30" s="69" t="s">
        <v>71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6.5" customHeight="1">
      <c r="A31" s="64" t="s">
        <v>144</v>
      </c>
      <c r="B31" s="65" t="s">
        <v>99</v>
      </c>
      <c r="C31" s="66">
        <v>0.5194444444444445</v>
      </c>
      <c r="D31" s="66">
        <v>0.5194444444444445</v>
      </c>
      <c r="E31" s="67">
        <v>12.0</v>
      </c>
      <c r="F31" s="68" t="s">
        <v>65</v>
      </c>
      <c r="G31" s="69" t="s">
        <v>108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6.5" customHeight="1">
      <c r="A32" s="64" t="s">
        <v>145</v>
      </c>
      <c r="B32" s="65" t="s">
        <v>102</v>
      </c>
      <c r="C32" s="66">
        <v>0.125</v>
      </c>
      <c r="D32" s="66">
        <v>0.125</v>
      </c>
      <c r="E32" s="67">
        <v>3.0</v>
      </c>
      <c r="F32" s="68" t="s">
        <v>65</v>
      </c>
      <c r="G32" s="69" t="s">
        <v>127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64" t="s">
        <v>146</v>
      </c>
      <c r="B33" s="65" t="s">
        <v>106</v>
      </c>
      <c r="C33" s="66">
        <v>0.3965277777777778</v>
      </c>
      <c r="D33" s="66">
        <v>0.0</v>
      </c>
      <c r="E33" s="67">
        <v>10.0</v>
      </c>
      <c r="F33" s="68" t="s">
        <v>147</v>
      </c>
      <c r="G33" s="69" t="s">
        <v>108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6.5" customHeight="1">
      <c r="A34" s="64" t="s">
        <v>148</v>
      </c>
      <c r="B34" s="65" t="s">
        <v>110</v>
      </c>
      <c r="C34" s="66">
        <v>0.4041666666666666</v>
      </c>
      <c r="D34" s="66">
        <v>0.0</v>
      </c>
      <c r="E34" s="67">
        <v>10.0</v>
      </c>
      <c r="F34" s="68" t="s">
        <v>147</v>
      </c>
      <c r="G34" s="69" t="s">
        <v>75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64" t="s">
        <v>149</v>
      </c>
      <c r="B35" s="65" t="s">
        <v>113</v>
      </c>
      <c r="C35" s="66">
        <v>0.2916666666666667</v>
      </c>
      <c r="D35" s="66">
        <v>0.0</v>
      </c>
      <c r="E35" s="67">
        <v>0.0</v>
      </c>
      <c r="F35" s="68" t="s">
        <v>150</v>
      </c>
      <c r="G35" s="69" t="s">
        <v>150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6.5" customHeight="1">
      <c r="A36" s="64" t="s">
        <v>151</v>
      </c>
      <c r="B36" s="65" t="s">
        <v>116</v>
      </c>
      <c r="C36" s="66">
        <v>0.3333333333333333</v>
      </c>
      <c r="D36" s="66">
        <v>0.0</v>
      </c>
      <c r="E36" s="67">
        <v>0.0</v>
      </c>
      <c r="F36" s="68" t="s">
        <v>150</v>
      </c>
      <c r="G36" s="69" t="s">
        <v>150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6.5" customHeight="1">
      <c r="A37" s="64" t="s">
        <v>152</v>
      </c>
      <c r="B37" s="65" t="s">
        <v>119</v>
      </c>
      <c r="C37" s="66">
        <v>0.0</v>
      </c>
      <c r="D37" s="66">
        <v>0.0</v>
      </c>
      <c r="E37" s="67">
        <v>0.0</v>
      </c>
      <c r="F37" s="68" t="s">
        <v>150</v>
      </c>
      <c r="G37" s="69" t="s">
        <v>150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.5" customHeight="1">
      <c r="A38" s="64" t="s">
        <v>153</v>
      </c>
      <c r="B38" s="65" t="s">
        <v>122</v>
      </c>
      <c r="C38" s="66">
        <v>0.375</v>
      </c>
      <c r="D38" s="66">
        <v>0.0</v>
      </c>
      <c r="E38" s="67">
        <v>0.0</v>
      </c>
      <c r="F38" s="65" t="s">
        <v>150</v>
      </c>
      <c r="G38" s="69" t="s">
        <v>150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6.5" customHeight="1">
      <c r="A39" s="64" t="s">
        <v>154</v>
      </c>
      <c r="B39" s="65" t="s">
        <v>125</v>
      </c>
      <c r="C39" s="66"/>
      <c r="D39" s="66">
        <v>0.0</v>
      </c>
      <c r="E39" s="67">
        <v>0.0</v>
      </c>
      <c r="F39" s="68" t="s">
        <v>150</v>
      </c>
      <c r="G39" s="69" t="s">
        <v>150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6.5" customHeight="1">
      <c r="A40" s="64" t="s">
        <v>155</v>
      </c>
      <c r="B40" s="65" t="s">
        <v>129</v>
      </c>
      <c r="C40" s="66">
        <v>0.1875</v>
      </c>
      <c r="D40" s="66">
        <v>0.0</v>
      </c>
      <c r="E40" s="67">
        <v>0.0</v>
      </c>
      <c r="F40" s="68"/>
      <c r="G40" s="6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6.5" customHeight="1">
      <c r="A41" s="64" t="s">
        <v>156</v>
      </c>
      <c r="B41" s="65" t="s">
        <v>133</v>
      </c>
      <c r="C41" s="66">
        <v>0.375</v>
      </c>
      <c r="D41" s="66">
        <v>0.0</v>
      </c>
      <c r="E41" s="67">
        <v>9.0</v>
      </c>
      <c r="F41" s="68" t="s">
        <v>65</v>
      </c>
      <c r="G41" s="69" t="s">
        <v>150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6.5" customHeight="1">
      <c r="A42" s="3"/>
      <c r="B42" s="3"/>
      <c r="C42" s="3"/>
      <c r="D42" s="3"/>
      <c r="E42" s="79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6.5" customHeight="1">
      <c r="A43" s="3"/>
      <c r="B43" s="3"/>
      <c r="C43" s="3"/>
      <c r="D43" s="3"/>
      <c r="E43" s="79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6.5" customHeight="1">
      <c r="A44" s="3"/>
      <c r="B44" s="3"/>
      <c r="C44" s="3"/>
      <c r="D44" s="3"/>
      <c r="E44" s="79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6.5" customHeight="1">
      <c r="A45" s="3"/>
      <c r="B45" s="3"/>
      <c r="C45" s="3"/>
      <c r="D45" s="3"/>
      <c r="E45" s="79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6.5" customHeight="1">
      <c r="A46" s="3"/>
      <c r="B46" s="3"/>
      <c r="C46" s="3"/>
      <c r="D46" s="3"/>
      <c r="E46" s="79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6.5" customHeight="1">
      <c r="A47" s="3"/>
      <c r="B47" s="3"/>
      <c r="C47" s="3"/>
      <c r="D47" s="3"/>
      <c r="E47" s="79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6.5" customHeight="1">
      <c r="A48" s="3"/>
      <c r="B48" s="3"/>
      <c r="C48" s="3"/>
      <c r="D48" s="3"/>
      <c r="E48" s="79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6.5" customHeight="1">
      <c r="A49" s="3"/>
      <c r="B49" s="3"/>
      <c r="C49" s="3"/>
      <c r="D49" s="3"/>
      <c r="E49" s="79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6.5" customHeight="1">
      <c r="A50" s="3"/>
      <c r="B50" s="3"/>
      <c r="C50" s="3"/>
      <c r="D50" s="3"/>
      <c r="E50" s="79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6.5" customHeight="1">
      <c r="A51" s="3"/>
      <c r="B51" s="3"/>
      <c r="C51" s="3"/>
      <c r="D51" s="3"/>
      <c r="E51" s="79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6.5" customHeight="1">
      <c r="A52" s="3"/>
      <c r="B52" s="3"/>
      <c r="C52" s="3"/>
      <c r="D52" s="3"/>
      <c r="E52" s="79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6.5" customHeight="1">
      <c r="A53" s="3"/>
      <c r="B53" s="3"/>
      <c r="C53" s="3"/>
      <c r="D53" s="3"/>
      <c r="E53" s="79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6.5" customHeight="1">
      <c r="A54" s="3"/>
      <c r="B54" s="3"/>
      <c r="C54" s="3"/>
      <c r="D54" s="3"/>
      <c r="E54" s="79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6.5" customHeight="1">
      <c r="A55" s="3"/>
      <c r="B55" s="3"/>
      <c r="C55" s="3"/>
      <c r="D55" s="3"/>
      <c r="E55" s="79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6.5" customHeight="1">
      <c r="A56" s="3"/>
      <c r="B56" s="3"/>
      <c r="C56" s="3"/>
      <c r="D56" s="3"/>
      <c r="E56" s="79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6.5" customHeight="1">
      <c r="A57" s="3"/>
      <c r="B57" s="3"/>
      <c r="C57" s="3"/>
      <c r="D57" s="3"/>
      <c r="E57" s="79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6.5" customHeight="1">
      <c r="A58" s="3"/>
      <c r="B58" s="3"/>
      <c r="C58" s="3"/>
      <c r="D58" s="3"/>
      <c r="E58" s="79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6.5" customHeight="1">
      <c r="A59" s="3"/>
      <c r="B59" s="3"/>
      <c r="C59" s="3"/>
      <c r="D59" s="3"/>
      <c r="E59" s="79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6.5" customHeight="1">
      <c r="A60" s="3"/>
      <c r="B60" s="3"/>
      <c r="C60" s="3"/>
      <c r="D60" s="3"/>
      <c r="E60" s="79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6.5" customHeight="1">
      <c r="A61" s="3"/>
      <c r="B61" s="3"/>
      <c r="C61" s="3"/>
      <c r="D61" s="3"/>
      <c r="E61" s="79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6.5" customHeight="1">
      <c r="A62" s="3"/>
      <c r="B62" s="3"/>
      <c r="C62" s="3"/>
      <c r="D62" s="3"/>
      <c r="E62" s="79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6.5" customHeight="1">
      <c r="A63" s="3"/>
      <c r="B63" s="3"/>
      <c r="C63" s="3"/>
      <c r="D63" s="3"/>
      <c r="E63" s="79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6.5" customHeight="1">
      <c r="A64" s="3"/>
      <c r="B64" s="3"/>
      <c r="C64" s="3"/>
      <c r="D64" s="3"/>
      <c r="E64" s="79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6.5" customHeight="1">
      <c r="A65" s="3"/>
      <c r="B65" s="3"/>
      <c r="C65" s="3"/>
      <c r="D65" s="3"/>
      <c r="E65" s="79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6.5" customHeight="1">
      <c r="A66" s="3"/>
      <c r="B66" s="3"/>
      <c r="C66" s="3"/>
      <c r="D66" s="3"/>
      <c r="E66" s="79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6.5" customHeight="1">
      <c r="A67" s="3"/>
      <c r="B67" s="3"/>
      <c r="C67" s="3"/>
      <c r="D67" s="3"/>
      <c r="E67" s="79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6.5" customHeight="1">
      <c r="A68" s="3"/>
      <c r="B68" s="3"/>
      <c r="C68" s="3"/>
      <c r="D68" s="3"/>
      <c r="E68" s="79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6.5" customHeight="1">
      <c r="A69" s="3"/>
      <c r="B69" s="3"/>
      <c r="C69" s="3"/>
      <c r="D69" s="3"/>
      <c r="E69" s="79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6.5" customHeight="1">
      <c r="A70" s="3"/>
      <c r="B70" s="3"/>
      <c r="C70" s="3"/>
      <c r="D70" s="3"/>
      <c r="E70" s="79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6.5" customHeight="1">
      <c r="A71" s="3"/>
      <c r="B71" s="3"/>
      <c r="C71" s="3"/>
      <c r="D71" s="3"/>
      <c r="E71" s="79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6.5" customHeight="1">
      <c r="A72" s="3"/>
      <c r="B72" s="3"/>
      <c r="C72" s="3"/>
      <c r="D72" s="3"/>
      <c r="E72" s="79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6.5" customHeight="1">
      <c r="A73" s="3"/>
      <c r="B73" s="3"/>
      <c r="C73" s="3"/>
      <c r="D73" s="3"/>
      <c r="E73" s="79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6.5" customHeight="1">
      <c r="A74" s="3"/>
      <c r="B74" s="3"/>
      <c r="C74" s="3"/>
      <c r="D74" s="3"/>
      <c r="E74" s="79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6.5" customHeight="1">
      <c r="A75" s="3"/>
      <c r="B75" s="3"/>
      <c r="C75" s="3"/>
      <c r="D75" s="3"/>
      <c r="E75" s="79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6.5" customHeight="1">
      <c r="A76" s="3"/>
      <c r="B76" s="3"/>
      <c r="C76" s="3"/>
      <c r="D76" s="3"/>
      <c r="E76" s="79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6.5" customHeight="1">
      <c r="A77" s="3"/>
      <c r="B77" s="3"/>
      <c r="C77" s="3"/>
      <c r="D77" s="3"/>
      <c r="E77" s="79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6.5" customHeight="1">
      <c r="A78" s="3"/>
      <c r="B78" s="3"/>
      <c r="C78" s="3"/>
      <c r="D78" s="3"/>
      <c r="E78" s="79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6.5" customHeight="1">
      <c r="A79" s="3"/>
      <c r="B79" s="3"/>
      <c r="C79" s="3"/>
      <c r="D79" s="3"/>
      <c r="E79" s="79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6.5" customHeight="1">
      <c r="A80" s="3"/>
      <c r="B80" s="3"/>
      <c r="C80" s="3"/>
      <c r="D80" s="3"/>
      <c r="E80" s="79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6.5" customHeight="1">
      <c r="A81" s="3"/>
      <c r="B81" s="3"/>
      <c r="C81" s="3"/>
      <c r="D81" s="3"/>
      <c r="E81" s="79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6.5" customHeight="1">
      <c r="A82" s="3"/>
      <c r="B82" s="3"/>
      <c r="C82" s="3"/>
      <c r="D82" s="3"/>
      <c r="E82" s="79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6.5" customHeight="1">
      <c r="A83" s="3"/>
      <c r="B83" s="3"/>
      <c r="C83" s="3"/>
      <c r="D83" s="3"/>
      <c r="E83" s="79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6.5" customHeight="1">
      <c r="A84" s="3"/>
      <c r="B84" s="3"/>
      <c r="C84" s="3"/>
      <c r="D84" s="3"/>
      <c r="E84" s="79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6.5" customHeight="1">
      <c r="A85" s="3"/>
      <c r="B85" s="3"/>
      <c r="C85" s="3"/>
      <c r="D85" s="3"/>
      <c r="E85" s="79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6.5" customHeight="1">
      <c r="A86" s="3"/>
      <c r="B86" s="3"/>
      <c r="C86" s="3"/>
      <c r="D86" s="3"/>
      <c r="E86" s="79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6.5" customHeight="1">
      <c r="A87" s="3"/>
      <c r="B87" s="3"/>
      <c r="C87" s="3"/>
      <c r="D87" s="3"/>
      <c r="E87" s="79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6.5" customHeight="1">
      <c r="A88" s="3"/>
      <c r="B88" s="3"/>
      <c r="C88" s="3"/>
      <c r="D88" s="3"/>
      <c r="E88" s="79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6.5" customHeight="1">
      <c r="A89" s="3"/>
      <c r="B89" s="3"/>
      <c r="C89" s="3"/>
      <c r="D89" s="3"/>
      <c r="E89" s="79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6.5" customHeight="1">
      <c r="A90" s="3"/>
      <c r="B90" s="3"/>
      <c r="C90" s="3"/>
      <c r="D90" s="3"/>
      <c r="E90" s="79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6.5" customHeight="1">
      <c r="A91" s="3"/>
      <c r="B91" s="3"/>
      <c r="C91" s="3"/>
      <c r="D91" s="3"/>
      <c r="E91" s="79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6.5" customHeight="1">
      <c r="A92" s="3"/>
      <c r="B92" s="3"/>
      <c r="C92" s="3"/>
      <c r="D92" s="3"/>
      <c r="E92" s="79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6.5" customHeight="1">
      <c r="A93" s="3"/>
      <c r="B93" s="3"/>
      <c r="C93" s="3"/>
      <c r="D93" s="3"/>
      <c r="E93" s="79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6.5" customHeight="1">
      <c r="A94" s="3"/>
      <c r="B94" s="3"/>
      <c r="C94" s="3"/>
      <c r="D94" s="3"/>
      <c r="E94" s="79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6.5" customHeight="1">
      <c r="A95" s="3"/>
      <c r="B95" s="3"/>
      <c r="C95" s="3"/>
      <c r="D95" s="3"/>
      <c r="E95" s="79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6.5" customHeight="1">
      <c r="A96" s="3"/>
      <c r="B96" s="3"/>
      <c r="C96" s="3"/>
      <c r="D96" s="3"/>
      <c r="E96" s="79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6.5" customHeight="1">
      <c r="A97" s="3"/>
      <c r="B97" s="3"/>
      <c r="C97" s="3"/>
      <c r="D97" s="3"/>
      <c r="E97" s="79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6.5" customHeight="1">
      <c r="A98" s="3"/>
      <c r="B98" s="3"/>
      <c r="C98" s="3"/>
      <c r="D98" s="3"/>
      <c r="E98" s="79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6.5" customHeight="1">
      <c r="A99" s="3"/>
      <c r="B99" s="3"/>
      <c r="C99" s="3"/>
      <c r="D99" s="3"/>
      <c r="E99" s="79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6.5" customHeight="1">
      <c r="A100" s="3"/>
      <c r="B100" s="3"/>
      <c r="C100" s="3"/>
      <c r="D100" s="3"/>
      <c r="E100" s="79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6.5" customHeight="1">
      <c r="A101" s="3"/>
      <c r="B101" s="3"/>
      <c r="C101" s="3"/>
      <c r="D101" s="3"/>
      <c r="E101" s="79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6.5" customHeight="1">
      <c r="A102" s="3"/>
      <c r="B102" s="3"/>
      <c r="C102" s="3"/>
      <c r="D102" s="3"/>
      <c r="E102" s="79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6.5" customHeight="1">
      <c r="A103" s="3"/>
      <c r="B103" s="3"/>
      <c r="C103" s="3"/>
      <c r="D103" s="3"/>
      <c r="E103" s="79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6.5" customHeight="1">
      <c r="A104" s="3"/>
      <c r="B104" s="3"/>
      <c r="C104" s="3"/>
      <c r="D104" s="3"/>
      <c r="E104" s="79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6.5" customHeight="1">
      <c r="A105" s="3"/>
      <c r="B105" s="3"/>
      <c r="C105" s="3"/>
      <c r="D105" s="3"/>
      <c r="E105" s="79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6.5" customHeight="1">
      <c r="A106" s="3"/>
      <c r="B106" s="3"/>
      <c r="C106" s="3"/>
      <c r="D106" s="3"/>
      <c r="E106" s="79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6.5" customHeight="1">
      <c r="A107" s="3"/>
      <c r="B107" s="3"/>
      <c r="C107" s="3"/>
      <c r="D107" s="3"/>
      <c r="E107" s="79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6.5" customHeight="1">
      <c r="A108" s="3"/>
      <c r="B108" s="3"/>
      <c r="C108" s="3"/>
      <c r="D108" s="3"/>
      <c r="E108" s="79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6.5" customHeight="1">
      <c r="A109" s="3"/>
      <c r="B109" s="3"/>
      <c r="C109" s="3"/>
      <c r="D109" s="3"/>
      <c r="E109" s="79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6.5" customHeight="1">
      <c r="A110" s="3"/>
      <c r="B110" s="3"/>
      <c r="C110" s="3"/>
      <c r="D110" s="3"/>
      <c r="E110" s="79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6.5" customHeight="1">
      <c r="A111" s="3"/>
      <c r="B111" s="3"/>
      <c r="C111" s="3"/>
      <c r="D111" s="3"/>
      <c r="E111" s="79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6.5" customHeight="1">
      <c r="A112" s="3"/>
      <c r="B112" s="3"/>
      <c r="C112" s="3"/>
      <c r="D112" s="3"/>
      <c r="E112" s="79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6.5" customHeight="1">
      <c r="A113" s="3"/>
      <c r="B113" s="3"/>
      <c r="C113" s="3"/>
      <c r="D113" s="3"/>
      <c r="E113" s="79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6.5" customHeight="1">
      <c r="A114" s="3"/>
      <c r="B114" s="3"/>
      <c r="C114" s="3"/>
      <c r="D114" s="3"/>
      <c r="E114" s="79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6.5" customHeight="1">
      <c r="A115" s="3"/>
      <c r="B115" s="3"/>
      <c r="C115" s="3"/>
      <c r="D115" s="3"/>
      <c r="E115" s="79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6.5" customHeight="1">
      <c r="A116" s="3"/>
      <c r="B116" s="3"/>
      <c r="C116" s="3"/>
      <c r="D116" s="3"/>
      <c r="E116" s="79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6.5" customHeight="1">
      <c r="A117" s="3"/>
      <c r="B117" s="3"/>
      <c r="C117" s="3"/>
      <c r="D117" s="3"/>
      <c r="E117" s="79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6.5" customHeight="1">
      <c r="A118" s="3"/>
      <c r="B118" s="3"/>
      <c r="C118" s="3"/>
      <c r="D118" s="3"/>
      <c r="E118" s="79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6.5" customHeight="1">
      <c r="A119" s="3"/>
      <c r="B119" s="3"/>
      <c r="C119" s="3"/>
      <c r="D119" s="3"/>
      <c r="E119" s="79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6.5" customHeight="1">
      <c r="A120" s="3"/>
      <c r="B120" s="3"/>
      <c r="C120" s="3"/>
      <c r="D120" s="3"/>
      <c r="E120" s="79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6.5" customHeight="1">
      <c r="A121" s="3"/>
      <c r="B121" s="3"/>
      <c r="C121" s="3"/>
      <c r="D121" s="3"/>
      <c r="E121" s="79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6.5" customHeight="1">
      <c r="A122" s="3"/>
      <c r="B122" s="3"/>
      <c r="C122" s="3"/>
      <c r="D122" s="3"/>
      <c r="E122" s="79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6.5" customHeight="1">
      <c r="A123" s="3"/>
      <c r="B123" s="3"/>
      <c r="C123" s="3"/>
      <c r="D123" s="3"/>
      <c r="E123" s="79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6.5" customHeight="1">
      <c r="A124" s="3"/>
      <c r="B124" s="3"/>
      <c r="C124" s="3"/>
      <c r="D124" s="3"/>
      <c r="E124" s="79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6.5" customHeight="1">
      <c r="A125" s="3"/>
      <c r="B125" s="3"/>
      <c r="C125" s="3"/>
      <c r="D125" s="3"/>
      <c r="E125" s="79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6.5" customHeight="1">
      <c r="A126" s="3"/>
      <c r="B126" s="3"/>
      <c r="C126" s="3"/>
      <c r="D126" s="3"/>
      <c r="E126" s="79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6.5" customHeight="1">
      <c r="A127" s="3"/>
      <c r="B127" s="3"/>
      <c r="C127" s="3"/>
      <c r="D127" s="3"/>
      <c r="E127" s="79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6.5" customHeight="1">
      <c r="A128" s="3"/>
      <c r="B128" s="3"/>
      <c r="C128" s="3"/>
      <c r="D128" s="3"/>
      <c r="E128" s="79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6.5" customHeight="1">
      <c r="A129" s="3"/>
      <c r="B129" s="3"/>
      <c r="C129" s="3"/>
      <c r="D129" s="3"/>
      <c r="E129" s="79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6.5" customHeight="1">
      <c r="A130" s="3"/>
      <c r="B130" s="3"/>
      <c r="C130" s="3"/>
      <c r="D130" s="3"/>
      <c r="E130" s="79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6.5" customHeight="1">
      <c r="A131" s="3"/>
      <c r="B131" s="3"/>
      <c r="C131" s="3"/>
      <c r="D131" s="3"/>
      <c r="E131" s="79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6.5" customHeight="1">
      <c r="A132" s="3"/>
      <c r="B132" s="3"/>
      <c r="C132" s="3"/>
      <c r="D132" s="3"/>
      <c r="E132" s="79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6.5" customHeight="1">
      <c r="A133" s="3"/>
      <c r="B133" s="3"/>
      <c r="C133" s="3"/>
      <c r="D133" s="3"/>
      <c r="E133" s="79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6.5" customHeight="1">
      <c r="A134" s="3"/>
      <c r="B134" s="3"/>
      <c r="C134" s="3"/>
      <c r="D134" s="3"/>
      <c r="E134" s="79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6.5" customHeight="1">
      <c r="A135" s="3"/>
      <c r="B135" s="3"/>
      <c r="C135" s="3"/>
      <c r="D135" s="3"/>
      <c r="E135" s="79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6.5" customHeight="1">
      <c r="A136" s="3"/>
      <c r="B136" s="3"/>
      <c r="C136" s="3"/>
      <c r="D136" s="3"/>
      <c r="E136" s="79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6.5" customHeight="1">
      <c r="A137" s="3"/>
      <c r="B137" s="3"/>
      <c r="C137" s="3"/>
      <c r="D137" s="3"/>
      <c r="E137" s="79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6.5" customHeight="1">
      <c r="A138" s="3"/>
      <c r="B138" s="3"/>
      <c r="C138" s="3"/>
      <c r="D138" s="3"/>
      <c r="E138" s="79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6.5" customHeight="1">
      <c r="A139" s="3"/>
      <c r="B139" s="3"/>
      <c r="C139" s="3"/>
      <c r="D139" s="3"/>
      <c r="E139" s="79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6.5" customHeight="1">
      <c r="A140" s="3"/>
      <c r="B140" s="3"/>
      <c r="C140" s="3"/>
      <c r="D140" s="3"/>
      <c r="E140" s="79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6.5" customHeight="1">
      <c r="A141" s="3"/>
      <c r="B141" s="3"/>
      <c r="C141" s="3"/>
      <c r="D141" s="3"/>
      <c r="E141" s="79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6.5" customHeight="1">
      <c r="A142" s="3"/>
      <c r="B142" s="3"/>
      <c r="C142" s="3"/>
      <c r="D142" s="3"/>
      <c r="E142" s="79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6.5" customHeight="1">
      <c r="A143" s="3"/>
      <c r="B143" s="3"/>
      <c r="C143" s="3"/>
      <c r="D143" s="3"/>
      <c r="E143" s="79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6.5" customHeight="1">
      <c r="A144" s="3"/>
      <c r="B144" s="3"/>
      <c r="C144" s="3"/>
      <c r="D144" s="3"/>
      <c r="E144" s="79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6.5" customHeight="1">
      <c r="A145" s="3"/>
      <c r="B145" s="3"/>
      <c r="C145" s="3"/>
      <c r="D145" s="3"/>
      <c r="E145" s="79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6.5" customHeight="1">
      <c r="A146" s="3"/>
      <c r="B146" s="3"/>
      <c r="C146" s="3"/>
      <c r="D146" s="3"/>
      <c r="E146" s="79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6.5" customHeight="1">
      <c r="A147" s="3"/>
      <c r="B147" s="3"/>
      <c r="C147" s="3"/>
      <c r="D147" s="3"/>
      <c r="E147" s="79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6.5" customHeight="1">
      <c r="A148" s="3"/>
      <c r="B148" s="3"/>
      <c r="C148" s="3"/>
      <c r="D148" s="3"/>
      <c r="E148" s="79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6.5" customHeight="1">
      <c r="A149" s="3"/>
      <c r="B149" s="3"/>
      <c r="C149" s="3"/>
      <c r="D149" s="3"/>
      <c r="E149" s="79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6.5" customHeight="1">
      <c r="A150" s="3"/>
      <c r="B150" s="3"/>
      <c r="C150" s="3"/>
      <c r="D150" s="3"/>
      <c r="E150" s="79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6.5" customHeight="1">
      <c r="A151" s="3"/>
      <c r="B151" s="3"/>
      <c r="C151" s="3"/>
      <c r="D151" s="3"/>
      <c r="E151" s="79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6.5" customHeight="1">
      <c r="A152" s="3"/>
      <c r="B152" s="3"/>
      <c r="C152" s="3"/>
      <c r="D152" s="3"/>
      <c r="E152" s="79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6.5" customHeight="1">
      <c r="A153" s="3"/>
      <c r="B153" s="3"/>
      <c r="C153" s="3"/>
      <c r="D153" s="3"/>
      <c r="E153" s="79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6.5" customHeight="1">
      <c r="A154" s="3"/>
      <c r="B154" s="3"/>
      <c r="C154" s="3"/>
      <c r="D154" s="3"/>
      <c r="E154" s="79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6.5" customHeight="1">
      <c r="A155" s="3"/>
      <c r="B155" s="3"/>
      <c r="C155" s="3"/>
      <c r="D155" s="3"/>
      <c r="E155" s="79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6.5" customHeight="1">
      <c r="A156" s="3"/>
      <c r="B156" s="3"/>
      <c r="C156" s="3"/>
      <c r="D156" s="3"/>
      <c r="E156" s="79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6.5" customHeight="1">
      <c r="A157" s="3"/>
      <c r="B157" s="3"/>
      <c r="C157" s="3"/>
      <c r="D157" s="3"/>
      <c r="E157" s="79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6.5" customHeight="1">
      <c r="A158" s="3"/>
      <c r="B158" s="3"/>
      <c r="C158" s="3"/>
      <c r="D158" s="3"/>
      <c r="E158" s="79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6.5" customHeight="1">
      <c r="A159" s="3"/>
      <c r="B159" s="3"/>
      <c r="C159" s="3"/>
      <c r="D159" s="3"/>
      <c r="E159" s="79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6.5" customHeight="1">
      <c r="A160" s="3"/>
      <c r="B160" s="3"/>
      <c r="C160" s="3"/>
      <c r="D160" s="3"/>
      <c r="E160" s="79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6.5" customHeight="1">
      <c r="A161" s="3"/>
      <c r="B161" s="3"/>
      <c r="C161" s="3"/>
      <c r="D161" s="3"/>
      <c r="E161" s="79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6.5" customHeight="1">
      <c r="A162" s="3"/>
      <c r="B162" s="3"/>
      <c r="C162" s="3"/>
      <c r="D162" s="3"/>
      <c r="E162" s="79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6.5" customHeight="1">
      <c r="A163" s="3"/>
      <c r="B163" s="3"/>
      <c r="C163" s="3"/>
      <c r="D163" s="3"/>
      <c r="E163" s="79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6.5" customHeight="1">
      <c r="A164" s="3"/>
      <c r="B164" s="3"/>
      <c r="C164" s="3"/>
      <c r="D164" s="3"/>
      <c r="E164" s="79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6.5" customHeight="1">
      <c r="A165" s="3"/>
      <c r="B165" s="3"/>
      <c r="C165" s="3"/>
      <c r="D165" s="3"/>
      <c r="E165" s="79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6.5" customHeight="1">
      <c r="A166" s="3"/>
      <c r="B166" s="3"/>
      <c r="C166" s="3"/>
      <c r="D166" s="3"/>
      <c r="E166" s="79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6.5" customHeight="1">
      <c r="A167" s="3"/>
      <c r="B167" s="3"/>
      <c r="C167" s="3"/>
      <c r="D167" s="3"/>
      <c r="E167" s="79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6.5" customHeight="1">
      <c r="A168" s="3"/>
      <c r="B168" s="3"/>
      <c r="C168" s="3"/>
      <c r="D168" s="3"/>
      <c r="E168" s="79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6.5" customHeight="1">
      <c r="A169" s="3"/>
      <c r="B169" s="3"/>
      <c r="C169" s="3"/>
      <c r="D169" s="3"/>
      <c r="E169" s="79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6.5" customHeight="1">
      <c r="A170" s="3"/>
      <c r="B170" s="3"/>
      <c r="C170" s="3"/>
      <c r="D170" s="3"/>
      <c r="E170" s="79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6.5" customHeight="1">
      <c r="A171" s="3"/>
      <c r="B171" s="3"/>
      <c r="C171" s="3"/>
      <c r="D171" s="3"/>
      <c r="E171" s="79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6.5" customHeight="1">
      <c r="A172" s="3"/>
      <c r="B172" s="3"/>
      <c r="C172" s="3"/>
      <c r="D172" s="3"/>
      <c r="E172" s="79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6.5" customHeight="1">
      <c r="A173" s="3"/>
      <c r="B173" s="3"/>
      <c r="C173" s="3"/>
      <c r="D173" s="3"/>
      <c r="E173" s="79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6.5" customHeight="1">
      <c r="A174" s="3"/>
      <c r="B174" s="3"/>
      <c r="C174" s="3"/>
      <c r="D174" s="3"/>
      <c r="E174" s="79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6.5" customHeight="1">
      <c r="A175" s="3"/>
      <c r="B175" s="3"/>
      <c r="C175" s="3"/>
      <c r="D175" s="3"/>
      <c r="E175" s="79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6.5" customHeight="1">
      <c r="A176" s="3"/>
      <c r="B176" s="3"/>
      <c r="C176" s="3"/>
      <c r="D176" s="3"/>
      <c r="E176" s="79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6.5" customHeight="1">
      <c r="A177" s="3"/>
      <c r="B177" s="3"/>
      <c r="C177" s="3"/>
      <c r="D177" s="3"/>
      <c r="E177" s="79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6.5" customHeight="1">
      <c r="A178" s="3"/>
      <c r="B178" s="3"/>
      <c r="C178" s="3"/>
      <c r="D178" s="3"/>
      <c r="E178" s="79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6.5" customHeight="1">
      <c r="A179" s="3"/>
      <c r="B179" s="3"/>
      <c r="C179" s="3"/>
      <c r="D179" s="3"/>
      <c r="E179" s="79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6.5" customHeight="1">
      <c r="A180" s="3"/>
      <c r="B180" s="3"/>
      <c r="C180" s="3"/>
      <c r="D180" s="3"/>
      <c r="E180" s="79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6.5" customHeight="1">
      <c r="A181" s="3"/>
      <c r="B181" s="3"/>
      <c r="C181" s="3"/>
      <c r="D181" s="3"/>
      <c r="E181" s="79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6.5" customHeight="1">
      <c r="A182" s="3"/>
      <c r="B182" s="3"/>
      <c r="C182" s="3"/>
      <c r="D182" s="3"/>
      <c r="E182" s="79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6.5" customHeight="1">
      <c r="A183" s="3"/>
      <c r="B183" s="3"/>
      <c r="C183" s="3"/>
      <c r="D183" s="3"/>
      <c r="E183" s="79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6.5" customHeight="1">
      <c r="A184" s="3"/>
      <c r="B184" s="3"/>
      <c r="C184" s="3"/>
      <c r="D184" s="3"/>
      <c r="E184" s="79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6.5" customHeight="1">
      <c r="A185" s="3"/>
      <c r="B185" s="3"/>
      <c r="C185" s="3"/>
      <c r="D185" s="3"/>
      <c r="E185" s="79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6.5" customHeight="1">
      <c r="A186" s="3"/>
      <c r="B186" s="3"/>
      <c r="C186" s="3"/>
      <c r="D186" s="3"/>
      <c r="E186" s="79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6.5" customHeight="1">
      <c r="A187" s="3"/>
      <c r="B187" s="3"/>
      <c r="C187" s="3"/>
      <c r="D187" s="3"/>
      <c r="E187" s="79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6.5" customHeight="1">
      <c r="A188" s="3"/>
      <c r="B188" s="3"/>
      <c r="C188" s="3"/>
      <c r="D188" s="3"/>
      <c r="E188" s="79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6.5" customHeight="1">
      <c r="A189" s="3"/>
      <c r="B189" s="3"/>
      <c r="C189" s="3"/>
      <c r="D189" s="3"/>
      <c r="E189" s="79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6.5" customHeight="1">
      <c r="A190" s="3"/>
      <c r="B190" s="3"/>
      <c r="C190" s="3"/>
      <c r="D190" s="3"/>
      <c r="E190" s="79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6.5" customHeight="1">
      <c r="A191" s="3"/>
      <c r="B191" s="3"/>
      <c r="C191" s="3"/>
      <c r="D191" s="3"/>
      <c r="E191" s="79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6.5" customHeight="1">
      <c r="A192" s="3"/>
      <c r="B192" s="3"/>
      <c r="C192" s="3"/>
      <c r="D192" s="3"/>
      <c r="E192" s="79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6.5" customHeight="1">
      <c r="A193" s="3"/>
      <c r="B193" s="3"/>
      <c r="C193" s="3"/>
      <c r="D193" s="3"/>
      <c r="E193" s="79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6.5" customHeight="1">
      <c r="A194" s="3"/>
      <c r="B194" s="3"/>
      <c r="C194" s="3"/>
      <c r="D194" s="3"/>
      <c r="E194" s="79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6.5" customHeight="1">
      <c r="A195" s="3"/>
      <c r="B195" s="3"/>
      <c r="C195" s="3"/>
      <c r="D195" s="3"/>
      <c r="E195" s="79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6.5" customHeight="1">
      <c r="A196" s="3"/>
      <c r="B196" s="3"/>
      <c r="C196" s="3"/>
      <c r="D196" s="3"/>
      <c r="E196" s="79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6.5" customHeight="1">
      <c r="A197" s="3"/>
      <c r="B197" s="3"/>
      <c r="C197" s="3"/>
      <c r="D197" s="3"/>
      <c r="E197" s="79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6.5" customHeight="1">
      <c r="A198" s="3"/>
      <c r="B198" s="3"/>
      <c r="C198" s="3"/>
      <c r="D198" s="3"/>
      <c r="E198" s="79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6.5" customHeight="1">
      <c r="A199" s="3"/>
      <c r="B199" s="3"/>
      <c r="C199" s="3"/>
      <c r="D199" s="3"/>
      <c r="E199" s="79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6.5" customHeight="1">
      <c r="A200" s="3"/>
      <c r="B200" s="3"/>
      <c r="C200" s="3"/>
      <c r="D200" s="3"/>
      <c r="E200" s="79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6.5" customHeight="1">
      <c r="A201" s="3"/>
      <c r="B201" s="3"/>
      <c r="C201" s="3"/>
      <c r="D201" s="3"/>
      <c r="E201" s="79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6.5" customHeight="1">
      <c r="A202" s="3"/>
      <c r="B202" s="3"/>
      <c r="C202" s="3"/>
      <c r="D202" s="3"/>
      <c r="E202" s="79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6.5" customHeight="1">
      <c r="A203" s="3"/>
      <c r="B203" s="3"/>
      <c r="C203" s="3"/>
      <c r="D203" s="3"/>
      <c r="E203" s="79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6.5" customHeight="1">
      <c r="A204" s="3"/>
      <c r="B204" s="3"/>
      <c r="C204" s="3"/>
      <c r="D204" s="3"/>
      <c r="E204" s="79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6.5" customHeight="1">
      <c r="A205" s="3"/>
      <c r="B205" s="3"/>
      <c r="C205" s="3"/>
      <c r="D205" s="3"/>
      <c r="E205" s="79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6.5" customHeight="1">
      <c r="A206" s="3"/>
      <c r="B206" s="3"/>
      <c r="C206" s="3"/>
      <c r="D206" s="3"/>
      <c r="E206" s="79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6.5" customHeight="1">
      <c r="A207" s="3"/>
      <c r="B207" s="3"/>
      <c r="C207" s="3"/>
      <c r="D207" s="3"/>
      <c r="E207" s="79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6.5" customHeight="1">
      <c r="A208" s="3"/>
      <c r="B208" s="3"/>
      <c r="C208" s="3"/>
      <c r="D208" s="3"/>
      <c r="E208" s="79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6.5" customHeight="1">
      <c r="A209" s="3"/>
      <c r="B209" s="3"/>
      <c r="C209" s="3"/>
      <c r="D209" s="3"/>
      <c r="E209" s="79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6.5" customHeight="1">
      <c r="A210" s="3"/>
      <c r="B210" s="3"/>
      <c r="C210" s="3"/>
      <c r="D210" s="3"/>
      <c r="E210" s="79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6.5" customHeight="1">
      <c r="A211" s="3"/>
      <c r="B211" s="3"/>
      <c r="C211" s="3"/>
      <c r="D211" s="3"/>
      <c r="E211" s="79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6.5" customHeight="1">
      <c r="A212" s="3"/>
      <c r="B212" s="3"/>
      <c r="C212" s="3"/>
      <c r="D212" s="3"/>
      <c r="E212" s="79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6.5" customHeight="1">
      <c r="A213" s="3"/>
      <c r="B213" s="3"/>
      <c r="C213" s="3"/>
      <c r="D213" s="3"/>
      <c r="E213" s="79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6.5" customHeight="1">
      <c r="A214" s="3"/>
      <c r="B214" s="3"/>
      <c r="C214" s="3"/>
      <c r="D214" s="3"/>
      <c r="E214" s="79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6.5" customHeight="1">
      <c r="A215" s="3"/>
      <c r="B215" s="3"/>
      <c r="C215" s="3"/>
      <c r="D215" s="3"/>
      <c r="E215" s="79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6.5" customHeight="1">
      <c r="A216" s="3"/>
      <c r="B216" s="3"/>
      <c r="C216" s="3"/>
      <c r="D216" s="3"/>
      <c r="E216" s="79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6.5" customHeight="1">
      <c r="A217" s="3"/>
      <c r="B217" s="3"/>
      <c r="C217" s="3"/>
      <c r="D217" s="3"/>
      <c r="E217" s="79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6.5" customHeight="1">
      <c r="A218" s="3"/>
      <c r="B218" s="3"/>
      <c r="C218" s="3"/>
      <c r="D218" s="3"/>
      <c r="E218" s="79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6.5" customHeight="1">
      <c r="A219" s="3"/>
      <c r="B219" s="3"/>
      <c r="C219" s="3"/>
      <c r="D219" s="3"/>
      <c r="E219" s="79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6.5" customHeight="1">
      <c r="A220" s="3"/>
      <c r="B220" s="3"/>
      <c r="C220" s="3"/>
      <c r="D220" s="3"/>
      <c r="E220" s="79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6.5" customHeight="1">
      <c r="A221" s="3"/>
      <c r="B221" s="3"/>
      <c r="C221" s="3"/>
      <c r="D221" s="3"/>
      <c r="E221" s="79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6.5" customHeight="1">
      <c r="A222" s="3"/>
      <c r="B222" s="3"/>
      <c r="C222" s="3"/>
      <c r="D222" s="3"/>
      <c r="E222" s="79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6.5" customHeight="1">
      <c r="A223" s="3"/>
      <c r="B223" s="3"/>
      <c r="C223" s="3"/>
      <c r="D223" s="3"/>
      <c r="E223" s="79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6.5" customHeight="1">
      <c r="A224" s="3"/>
      <c r="B224" s="3"/>
      <c r="C224" s="3"/>
      <c r="D224" s="3"/>
      <c r="E224" s="79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6.5" customHeight="1">
      <c r="A225" s="3"/>
      <c r="B225" s="3"/>
      <c r="C225" s="3"/>
      <c r="D225" s="3"/>
      <c r="E225" s="79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6.5" customHeight="1">
      <c r="A226" s="3"/>
      <c r="B226" s="3"/>
      <c r="C226" s="3"/>
      <c r="D226" s="3"/>
      <c r="E226" s="79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6.5" customHeight="1">
      <c r="A227" s="3"/>
      <c r="B227" s="3"/>
      <c r="C227" s="3"/>
      <c r="D227" s="3"/>
      <c r="E227" s="79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6.5" customHeight="1">
      <c r="A228" s="3"/>
      <c r="B228" s="3"/>
      <c r="C228" s="3"/>
      <c r="D228" s="3"/>
      <c r="E228" s="79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6.5" customHeight="1">
      <c r="A229" s="3"/>
      <c r="B229" s="3"/>
      <c r="C229" s="3"/>
      <c r="D229" s="3"/>
      <c r="E229" s="79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6.5" customHeight="1">
      <c r="A230" s="3"/>
      <c r="B230" s="3"/>
      <c r="C230" s="3"/>
      <c r="D230" s="3"/>
      <c r="E230" s="79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6.5" customHeight="1">
      <c r="A231" s="3"/>
      <c r="B231" s="3"/>
      <c r="C231" s="3"/>
      <c r="D231" s="3"/>
      <c r="E231" s="79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6.5" customHeight="1">
      <c r="A232" s="3"/>
      <c r="B232" s="3"/>
      <c r="C232" s="3"/>
      <c r="D232" s="3"/>
      <c r="E232" s="79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6.5" customHeight="1">
      <c r="A233" s="3"/>
      <c r="B233" s="3"/>
      <c r="C233" s="3"/>
      <c r="D233" s="3"/>
      <c r="E233" s="79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6.5" customHeight="1">
      <c r="A234" s="3"/>
      <c r="B234" s="3"/>
      <c r="C234" s="3"/>
      <c r="D234" s="3"/>
      <c r="E234" s="79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6.5" customHeight="1">
      <c r="A235" s="3"/>
      <c r="B235" s="3"/>
      <c r="C235" s="3"/>
      <c r="D235" s="3"/>
      <c r="E235" s="79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6.5" customHeight="1">
      <c r="A236" s="3"/>
      <c r="B236" s="3"/>
      <c r="C236" s="3"/>
      <c r="D236" s="3"/>
      <c r="E236" s="79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6.5" customHeight="1">
      <c r="A237" s="3"/>
      <c r="B237" s="3"/>
      <c r="C237" s="3"/>
      <c r="D237" s="3"/>
      <c r="E237" s="79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6.5" customHeight="1">
      <c r="A238" s="3"/>
      <c r="B238" s="3"/>
      <c r="C238" s="3"/>
      <c r="D238" s="3"/>
      <c r="E238" s="79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6.5" customHeight="1">
      <c r="A239" s="3"/>
      <c r="B239" s="3"/>
      <c r="C239" s="3"/>
      <c r="D239" s="3"/>
      <c r="E239" s="79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6.5" customHeight="1">
      <c r="A240" s="3"/>
      <c r="B240" s="3"/>
      <c r="C240" s="3"/>
      <c r="D240" s="3"/>
      <c r="E240" s="79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6.5" customHeight="1">
      <c r="A241" s="3"/>
      <c r="B241" s="3"/>
      <c r="C241" s="3"/>
      <c r="D241" s="3"/>
      <c r="E241" s="79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43"/>
    <col customWidth="1" min="2" max="4" width="15.71"/>
    <col customWidth="1" hidden="1" min="5" max="5" width="15.71"/>
    <col customWidth="1" min="6" max="6" width="15.71"/>
    <col customWidth="1" min="7" max="7" width="18.0"/>
    <col customWidth="1" min="8" max="8" width="18.86"/>
    <col customWidth="1" min="9" max="26" width="11.43"/>
  </cols>
  <sheetData>
    <row r="1" ht="16.5" customHeight="1">
      <c r="A1" s="80" t="s">
        <v>10</v>
      </c>
      <c r="B1" s="81" t="s">
        <v>11</v>
      </c>
      <c r="C1" s="57" t="s">
        <v>157</v>
      </c>
      <c r="D1" s="58" t="s">
        <v>149</v>
      </c>
      <c r="E1" s="82" t="s">
        <v>153</v>
      </c>
      <c r="F1" s="82" t="s">
        <v>158</v>
      </c>
      <c r="G1" s="82" t="s">
        <v>159</v>
      </c>
      <c r="H1" s="82" t="s">
        <v>160</v>
      </c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6.5" customHeight="1">
      <c r="A2" s="83" t="s">
        <v>161</v>
      </c>
      <c r="B2" s="84">
        <v>7.25</v>
      </c>
      <c r="C2" s="85">
        <f>Lenker!$B2/$B$24</f>
        <v>1.004618938</v>
      </c>
      <c r="D2" s="86">
        <f>$B$25*Lenker!$C2</f>
        <v>0.2930138568</v>
      </c>
      <c r="E2" s="87">
        <v>0.0</v>
      </c>
      <c r="F2" s="88">
        <f>$B$26*Lenker!$C2</f>
        <v>0.3348729792</v>
      </c>
      <c r="G2" s="89">
        <v>409.0</v>
      </c>
      <c r="H2" s="90" t="s">
        <v>162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6.5" customHeight="1">
      <c r="A3" s="91" t="s">
        <v>163</v>
      </c>
      <c r="B3" s="84">
        <v>6.458333333333333</v>
      </c>
      <c r="C3" s="92">
        <f>Lenker!$B3/$B$24</f>
        <v>0.8949191686</v>
      </c>
      <c r="D3" s="93">
        <f>$B$25*Lenker!$C3</f>
        <v>0.2610180908</v>
      </c>
      <c r="E3" s="87">
        <v>0.0</v>
      </c>
      <c r="F3" s="94">
        <f>$B$26*Lenker!$C3</f>
        <v>0.2983063895</v>
      </c>
      <c r="G3" s="95" t="s">
        <v>164</v>
      </c>
      <c r="H3" s="9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6.5" customHeight="1">
      <c r="A4" s="91" t="s">
        <v>165</v>
      </c>
      <c r="B4" s="84">
        <v>7.25</v>
      </c>
      <c r="C4" s="92">
        <f>Lenker!$B4/$B$24</f>
        <v>1.004618938</v>
      </c>
      <c r="D4" s="93">
        <f>$B$25*Lenker!$C4</f>
        <v>0.2930138568</v>
      </c>
      <c r="E4" s="87">
        <v>0.0</v>
      </c>
      <c r="F4" s="94">
        <f>$B$26*Lenker!$C4</f>
        <v>0.3348729792</v>
      </c>
      <c r="G4" s="95"/>
      <c r="H4" s="9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6.5" customHeight="1">
      <c r="A5" s="91" t="s">
        <v>166</v>
      </c>
      <c r="B5" s="84">
        <v>7.25</v>
      </c>
      <c r="C5" s="92">
        <f>Lenker!$B5/$B$24</f>
        <v>1.004618938</v>
      </c>
      <c r="D5" s="93">
        <f>$B$25*Lenker!$C5</f>
        <v>0.2930138568</v>
      </c>
      <c r="E5" s="87">
        <v>0.0</v>
      </c>
      <c r="F5" s="94">
        <f>$B$26*Lenker!$C5</f>
        <v>0.3348729792</v>
      </c>
      <c r="G5" s="95">
        <v>401.0</v>
      </c>
      <c r="H5" s="96">
        <v>431.0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6.5" customHeight="1">
      <c r="A6" s="91" t="s">
        <v>167</v>
      </c>
      <c r="B6" s="84">
        <v>7.25</v>
      </c>
      <c r="C6" s="92">
        <f>Lenker!$B6/$B$24</f>
        <v>1.004618938</v>
      </c>
      <c r="D6" s="93">
        <f>$B$25*Lenker!$C6</f>
        <v>0.2930138568</v>
      </c>
      <c r="E6" s="87">
        <v>0.0</v>
      </c>
      <c r="F6" s="94">
        <f>$B$26*Lenker!$C6</f>
        <v>0.3348729792</v>
      </c>
      <c r="G6" s="95">
        <v>405.0</v>
      </c>
      <c r="H6" s="96">
        <v>434.0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6.5" customHeight="1">
      <c r="A7" s="91" t="s">
        <v>168</v>
      </c>
      <c r="B7" s="84">
        <v>7.25</v>
      </c>
      <c r="C7" s="92">
        <f>Lenker!$B7/$B$24</f>
        <v>1.004618938</v>
      </c>
      <c r="D7" s="93">
        <f>$B$25*Lenker!$C7</f>
        <v>0.2930138568</v>
      </c>
      <c r="E7" s="87">
        <v>0.0</v>
      </c>
      <c r="F7" s="94">
        <f>$B$26*Lenker!$C7</f>
        <v>0.3348729792</v>
      </c>
      <c r="G7" s="95">
        <v>414.0</v>
      </c>
      <c r="H7" s="96" t="s">
        <v>129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6.5" customHeight="1">
      <c r="A8" s="91" t="s">
        <v>169</v>
      </c>
      <c r="B8" s="84">
        <v>7.25</v>
      </c>
      <c r="C8" s="92">
        <f>Lenker!$B8/$B$24</f>
        <v>1.004618938</v>
      </c>
      <c r="D8" s="93">
        <f>$B$25*Lenker!$C8</f>
        <v>0.2930138568</v>
      </c>
      <c r="E8" s="87">
        <v>0.0</v>
      </c>
      <c r="F8" s="94">
        <f>$B$26*Lenker!$C8</f>
        <v>0.3348729792</v>
      </c>
      <c r="G8" s="95"/>
      <c r="H8" s="96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6.5" customHeight="1">
      <c r="A9" s="91" t="s">
        <v>170</v>
      </c>
      <c r="B9" s="84">
        <v>7.25</v>
      </c>
      <c r="C9" s="92">
        <f>Lenker!$B9/$B$24</f>
        <v>1.004618938</v>
      </c>
      <c r="D9" s="93">
        <f>$B$25*Lenker!$C9</f>
        <v>0.2930138568</v>
      </c>
      <c r="E9" s="87">
        <v>0.0</v>
      </c>
      <c r="F9" s="94">
        <f>$B$26*Lenker!$C9</f>
        <v>0.3348729792</v>
      </c>
      <c r="G9" s="95" t="s">
        <v>171</v>
      </c>
      <c r="H9" s="96">
        <v>439.0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6.5" customHeight="1">
      <c r="A10" s="91" t="s">
        <v>172</v>
      </c>
      <c r="B10" s="84">
        <v>7.25</v>
      </c>
      <c r="C10" s="92">
        <f>Lenker!$B10/$B$24</f>
        <v>1.004618938</v>
      </c>
      <c r="D10" s="93">
        <f>$B$25*Lenker!$C10</f>
        <v>0.2930138568</v>
      </c>
      <c r="E10" s="87">
        <v>0.0</v>
      </c>
      <c r="F10" s="94">
        <f>$B$26*Lenker!$C10</f>
        <v>0.3348729792</v>
      </c>
      <c r="G10" s="95">
        <v>403.0</v>
      </c>
      <c r="H10" s="96">
        <v>433.0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6.5" customHeight="1">
      <c r="A11" s="91" t="s">
        <v>173</v>
      </c>
      <c r="B11" s="84">
        <v>7.25</v>
      </c>
      <c r="C11" s="92">
        <f>Lenker!$B11/$B$24</f>
        <v>1.004618938</v>
      </c>
      <c r="D11" s="93">
        <f>$B$25*Lenker!$C11</f>
        <v>0.2930138568</v>
      </c>
      <c r="E11" s="87">
        <v>0.0</v>
      </c>
      <c r="F11" s="94">
        <f>$B$26*Lenker!$C11</f>
        <v>0.3348729792</v>
      </c>
      <c r="G11" s="95" t="s">
        <v>133</v>
      </c>
      <c r="H11" s="96" t="s">
        <v>133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6.5" customHeight="1">
      <c r="A12" s="91" t="s">
        <v>174</v>
      </c>
      <c r="B12" s="84">
        <v>7.25</v>
      </c>
      <c r="C12" s="92">
        <f>Lenker!$B12/$B$24</f>
        <v>1.004618938</v>
      </c>
      <c r="D12" s="93">
        <f>$B$25*Lenker!$C12</f>
        <v>0.2930138568</v>
      </c>
      <c r="E12" s="87">
        <v>0.0</v>
      </c>
      <c r="F12" s="94">
        <f>$B$26*Lenker!$C12</f>
        <v>0.3348729792</v>
      </c>
      <c r="G12" s="95">
        <v>404.0</v>
      </c>
      <c r="H12" s="96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6.5" customHeight="1">
      <c r="A13" s="91" t="s">
        <v>175</v>
      </c>
      <c r="B13" s="84">
        <v>7.25</v>
      </c>
      <c r="C13" s="92">
        <f>Lenker!$B13/$B$24</f>
        <v>1.004618938</v>
      </c>
      <c r="D13" s="93">
        <f>$B$25*Lenker!$C13</f>
        <v>0.2930138568</v>
      </c>
      <c r="E13" s="87">
        <v>0.0</v>
      </c>
      <c r="F13" s="94">
        <f>$B$26*Lenker!$C13</f>
        <v>0.3348729792</v>
      </c>
      <c r="G13" s="95">
        <v>402.0</v>
      </c>
      <c r="H13" s="96">
        <v>432.0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customHeight="1">
      <c r="A14" s="91" t="s">
        <v>176</v>
      </c>
      <c r="B14" s="84">
        <v>7.25</v>
      </c>
      <c r="C14" s="92">
        <f>Lenker!$B14/$B$24</f>
        <v>1.004618938</v>
      </c>
      <c r="D14" s="93">
        <f>$B$25*Lenker!$C14</f>
        <v>0.2930138568</v>
      </c>
      <c r="E14" s="87">
        <v>0.0</v>
      </c>
      <c r="F14" s="94">
        <f>$B$26*Lenker!$C14</f>
        <v>0.3348729792</v>
      </c>
      <c r="G14" s="95">
        <v>413.0</v>
      </c>
      <c r="H14" s="96">
        <v>437.0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6.5" customHeight="1">
      <c r="A15" s="91" t="s">
        <v>177</v>
      </c>
      <c r="B15" s="84">
        <v>7.25</v>
      </c>
      <c r="C15" s="92">
        <f>Lenker!$B15/$B$24</f>
        <v>1.004618938</v>
      </c>
      <c r="D15" s="93">
        <f>$B$25*Lenker!$C15</f>
        <v>0.2930138568</v>
      </c>
      <c r="E15" s="87">
        <v>0.0</v>
      </c>
      <c r="F15" s="94">
        <f>$B$26*Lenker!$C15</f>
        <v>0.3348729792</v>
      </c>
      <c r="G15" s="95">
        <v>407.0</v>
      </c>
      <c r="H15" s="96">
        <v>438.0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6.5" customHeight="1">
      <c r="A16" s="91" t="s">
        <v>178</v>
      </c>
      <c r="B16" s="84">
        <v>7.25</v>
      </c>
      <c r="C16" s="92">
        <f>Lenker!$B16/$B$24</f>
        <v>1.004618938</v>
      </c>
      <c r="D16" s="93">
        <f>$B$25*Lenker!$C16</f>
        <v>0.2930138568</v>
      </c>
      <c r="E16" s="87">
        <v>0.0</v>
      </c>
      <c r="F16" s="94">
        <f>$B$26*Lenker!$C16</f>
        <v>0.3348729792</v>
      </c>
      <c r="G16" s="95">
        <v>406.0</v>
      </c>
      <c r="H16" s="96">
        <v>438.0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6.5" customHeight="1">
      <c r="A17" s="97" t="s">
        <v>179</v>
      </c>
      <c r="B17" s="84">
        <v>1.6666666666666667</v>
      </c>
      <c r="C17" s="98">
        <f>Lenker!$B17/$B$24</f>
        <v>0.2309468822</v>
      </c>
      <c r="D17" s="93">
        <f>$B$25*Lenker!$C17</f>
        <v>0.06735950731</v>
      </c>
      <c r="E17" s="87">
        <v>0.0</v>
      </c>
      <c r="F17" s="94">
        <f>$B$26*Lenker!$C17</f>
        <v>0.07698229407</v>
      </c>
      <c r="G17" s="95"/>
      <c r="H17" s="96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6.5" customHeight="1">
      <c r="A18" s="97" t="s">
        <v>180</v>
      </c>
      <c r="B18" s="84">
        <v>1.6666666666666667</v>
      </c>
      <c r="C18" s="98">
        <f>Lenker!$B18/$B$24</f>
        <v>0.2309468822</v>
      </c>
      <c r="D18" s="93">
        <f>$B$25*Lenker!$C18</f>
        <v>0.06735950731</v>
      </c>
      <c r="E18" s="87">
        <v>0.0</v>
      </c>
      <c r="F18" s="94">
        <f>$B$26*Lenker!$C18</f>
        <v>0.07698229407</v>
      </c>
      <c r="G18" s="95"/>
      <c r="H18" s="96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6.5" customHeight="1">
      <c r="A19" s="99" t="s">
        <v>181</v>
      </c>
      <c r="B19" s="84">
        <v>7.25</v>
      </c>
      <c r="C19" s="92">
        <f>Lenker!$B19/$B$24</f>
        <v>1.004618938</v>
      </c>
      <c r="D19" s="93">
        <f>$B$25*Lenker!$C19</f>
        <v>0.2930138568</v>
      </c>
      <c r="E19" s="87">
        <v>0.0</v>
      </c>
      <c r="F19" s="94">
        <f>$B$26*Lenker!$C19</f>
        <v>0.3348729792</v>
      </c>
      <c r="G19" s="95" t="s">
        <v>164</v>
      </c>
      <c r="H19" s="96">
        <v>439.0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6.5" customHeight="1">
      <c r="A20" s="97" t="s">
        <v>182</v>
      </c>
      <c r="B20" s="84">
        <v>4.166666666666667</v>
      </c>
      <c r="C20" s="100">
        <f>Lenker!$B20/$B$24</f>
        <v>0.5773672055</v>
      </c>
      <c r="D20" s="101">
        <f>$B$25*Lenker!$C20</f>
        <v>0.1683987683</v>
      </c>
      <c r="E20" s="87">
        <v>0.0</v>
      </c>
      <c r="F20" s="102">
        <f>$B$26*Lenker!$C20</f>
        <v>0.1924557352</v>
      </c>
      <c r="G20" s="95"/>
      <c r="H20" s="96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6.5" customHeight="1">
      <c r="A21" s="103" t="s">
        <v>183</v>
      </c>
      <c r="B21" s="84">
        <v>2.75</v>
      </c>
      <c r="C21" s="104">
        <f>Lenker!$B21/$B$24</f>
        <v>0.3810623557</v>
      </c>
      <c r="D21" s="93">
        <f>$B$25*Lenker!$C21</f>
        <v>0.1111431871</v>
      </c>
      <c r="E21" s="87">
        <v>0.0</v>
      </c>
      <c r="F21" s="94">
        <f>$B$26*Lenker!$C21</f>
        <v>0.1270207852</v>
      </c>
      <c r="G21" s="95">
        <v>415.0</v>
      </c>
      <c r="H21" s="96">
        <v>415.0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6.5" customHeight="1">
      <c r="A22" s="105" t="s">
        <v>184</v>
      </c>
      <c r="B22" s="84">
        <v>1.6666666666666667</v>
      </c>
      <c r="C22" s="106">
        <f>Lenker!$B22/$B$24</f>
        <v>0.2309468822</v>
      </c>
      <c r="D22" s="107">
        <f>$B$25*Lenker!$C22</f>
        <v>0.06735950731</v>
      </c>
      <c r="E22" s="87">
        <v>0.0</v>
      </c>
      <c r="F22" s="108">
        <f>$B$26*Lenker!$C22</f>
        <v>0.07698229407</v>
      </c>
      <c r="G22" s="109">
        <v>452.0</v>
      </c>
      <c r="H22" s="110">
        <v>452.0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6.5" customHeight="1">
      <c r="A23" s="3"/>
      <c r="B23" s="3"/>
      <c r="C23" s="111" t="s">
        <v>185</v>
      </c>
      <c r="D23" s="112">
        <f>SUBTOTAL(109,Lenker!$D$2:$D$22)</f>
        <v>5.13784642</v>
      </c>
      <c r="E23" s="113"/>
      <c r="F23" s="11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customHeight="1">
      <c r="A24" s="115" t="s">
        <v>186</v>
      </c>
      <c r="B24" s="116">
        <v>7.216666666666666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.5" customHeight="1">
      <c r="A25" s="115" t="s">
        <v>187</v>
      </c>
      <c r="B25" s="116">
        <v>0.2916666666666667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6.5" customHeight="1">
      <c r="A26" s="115" t="s">
        <v>188</v>
      </c>
      <c r="B26" s="116">
        <v>0.3333333333333333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6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6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6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6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6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6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6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6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6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6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6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6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6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6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6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6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6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6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6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6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6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6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6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6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6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6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6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6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6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6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6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6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6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6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6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6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6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6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6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6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6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6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6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6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6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6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6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6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6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6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6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6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6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6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6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6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6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6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6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2.43"/>
    <col customWidth="1" min="2" max="2" width="20.71"/>
    <col customWidth="1" min="3" max="6" width="8.71"/>
    <col customWidth="1" min="7" max="22" width="11.43"/>
  </cols>
  <sheetData>
    <row r="1" ht="16.5" customHeight="1">
      <c r="A1" s="57" t="s">
        <v>149</v>
      </c>
      <c r="B1" s="117" t="s">
        <v>189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6.5" customHeight="1">
      <c r="A2" s="118" t="s">
        <v>190</v>
      </c>
      <c r="B2" s="119">
        <v>45658.0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6.5" customHeight="1">
      <c r="A3" s="118" t="s">
        <v>191</v>
      </c>
      <c r="B3" s="119">
        <v>45663.0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6.5" customHeight="1">
      <c r="A4" s="118" t="s">
        <v>192</v>
      </c>
      <c r="B4" s="119">
        <v>45768.0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6.5" customHeight="1">
      <c r="A5" s="118" t="s">
        <v>193</v>
      </c>
      <c r="B5" s="119">
        <v>45778.0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6.5" customHeight="1">
      <c r="A6" s="118" t="s">
        <v>194</v>
      </c>
      <c r="B6" s="119">
        <v>45806.0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6.5" customHeight="1">
      <c r="A7" s="118" t="s">
        <v>195</v>
      </c>
      <c r="B7" s="119">
        <v>45817.0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6.5" customHeight="1">
      <c r="A8" s="118" t="s">
        <v>196</v>
      </c>
      <c r="B8" s="119">
        <v>45827.0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6.5" customHeight="1">
      <c r="A9" s="118" t="s">
        <v>197</v>
      </c>
      <c r="B9" s="119">
        <v>45884.0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6.5" customHeight="1">
      <c r="A10" s="118" t="s">
        <v>198</v>
      </c>
      <c r="B10" s="119">
        <v>45956.0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6.5" customHeight="1">
      <c r="A11" s="118" t="s">
        <v>199</v>
      </c>
      <c r="B11" s="119">
        <v>45962.0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6.5" customHeight="1">
      <c r="A12" s="118" t="s">
        <v>200</v>
      </c>
      <c r="B12" s="119">
        <v>45999.0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6.5" customHeight="1">
      <c r="A13" s="118" t="s">
        <v>201</v>
      </c>
      <c r="B13" s="119">
        <v>46016.0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customHeight="1">
      <c r="A14" s="118" t="s">
        <v>202</v>
      </c>
      <c r="B14" s="119">
        <v>46017.0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6.5" customHeight="1">
      <c r="A15" s="3"/>
      <c r="B15" s="120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6.5" customHeight="1">
      <c r="A16" s="3"/>
      <c r="B16" s="120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6.5" customHeight="1">
      <c r="A17" s="3"/>
      <c r="B17" s="120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6.5" customHeight="1">
      <c r="A18" s="3"/>
      <c r="B18" s="120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6.5" customHeight="1">
      <c r="A19" s="3"/>
      <c r="B19" s="120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6.5" customHeight="1">
      <c r="A20" s="3"/>
      <c r="B20" s="120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6.5" customHeight="1">
      <c r="A21" s="3"/>
      <c r="B21" s="120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6.5" customHeight="1">
      <c r="A22" s="3"/>
      <c r="B22" s="120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6.5" customHeight="1">
      <c r="A23" s="3"/>
      <c r="B23" s="120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customHeight="1">
      <c r="A24" s="3"/>
      <c r="B24" s="120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.5" customHeight="1">
      <c r="A25" s="3"/>
      <c r="B25" s="120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6.5" customHeight="1">
      <c r="A26" s="3"/>
      <c r="B26" s="120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6.5" customHeight="1">
      <c r="A27" s="3"/>
      <c r="B27" s="120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6.5" customHeight="1">
      <c r="A28" s="3"/>
      <c r="B28" s="120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6.5" customHeight="1">
      <c r="A29" s="3"/>
      <c r="B29" s="120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6.5" customHeight="1">
      <c r="A30" s="3"/>
      <c r="B30" s="12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6.5" customHeight="1">
      <c r="A31" s="3"/>
      <c r="B31" s="120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6.5" customHeight="1">
      <c r="A32" s="3"/>
      <c r="B32" s="120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3"/>
      <c r="B33" s="120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6.5" customHeight="1">
      <c r="A34" s="3"/>
      <c r="B34" s="120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3"/>
      <c r="B35" s="120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6.5" customHeight="1">
      <c r="A36" s="3"/>
      <c r="B36" s="120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6.5" customHeight="1">
      <c r="A37" s="3"/>
      <c r="B37" s="120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.5" customHeight="1">
      <c r="A38" s="3"/>
      <c r="B38" s="120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6.5" customHeight="1">
      <c r="A39" s="3"/>
      <c r="B39" s="12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6.5" customHeight="1">
      <c r="A40" s="3"/>
      <c r="B40" s="120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6.5" customHeight="1">
      <c r="A41" s="3"/>
      <c r="B41" s="120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6.5" customHeight="1">
      <c r="A42" s="3"/>
      <c r="B42" s="120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6.5" customHeight="1">
      <c r="A43" s="3"/>
      <c r="B43" s="120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6.5" customHeight="1">
      <c r="A44" s="3"/>
      <c r="B44" s="120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6.5" customHeight="1">
      <c r="A45" s="3"/>
      <c r="B45" s="12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6.5" customHeight="1">
      <c r="A46" s="3"/>
      <c r="B46" s="120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6.5" customHeight="1">
      <c r="A47" s="3"/>
      <c r="B47" s="120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6.5" customHeight="1">
      <c r="A48" s="3"/>
      <c r="B48" s="120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6.5" customHeight="1">
      <c r="A49" s="3"/>
      <c r="B49" s="12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6.5" customHeight="1">
      <c r="A50" s="3"/>
      <c r="B50" s="12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6.5" customHeight="1">
      <c r="A51" s="3"/>
      <c r="B51" s="120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6.5" customHeight="1">
      <c r="A52" s="3"/>
      <c r="B52" s="120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6.5" customHeight="1">
      <c r="A53" s="3"/>
      <c r="B53" s="120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6.5" customHeight="1">
      <c r="A54" s="3"/>
      <c r="B54" s="120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6.5" customHeight="1">
      <c r="A55" s="3"/>
      <c r="B55" s="120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6.5" customHeight="1">
      <c r="A56" s="3"/>
      <c r="B56" s="120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6.5" customHeight="1">
      <c r="A57" s="3"/>
      <c r="B57" s="120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6.5" customHeight="1">
      <c r="A58" s="3"/>
      <c r="B58" s="12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6.5" customHeight="1">
      <c r="A59" s="3"/>
      <c r="B59" s="120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6.5" customHeight="1">
      <c r="A60" s="3"/>
      <c r="B60" s="120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6.5" customHeight="1">
      <c r="A61" s="3"/>
      <c r="B61" s="120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6.5" customHeight="1">
      <c r="A62" s="3"/>
      <c r="B62" s="120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6.5" customHeight="1">
      <c r="A63" s="3"/>
      <c r="B63" s="120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6.5" customHeight="1">
      <c r="A64" s="3"/>
      <c r="B64" s="120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6.5" customHeight="1">
      <c r="A65" s="3"/>
      <c r="B65" s="120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6.5" customHeight="1">
      <c r="A66" s="3"/>
      <c r="B66" s="120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6.5" customHeight="1">
      <c r="A67" s="3"/>
      <c r="B67" s="120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6.5" customHeight="1">
      <c r="A68" s="3"/>
      <c r="B68" s="120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6.5" customHeight="1">
      <c r="A69" s="3"/>
      <c r="B69" s="120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6.5" customHeight="1">
      <c r="A70" s="3"/>
      <c r="B70" s="120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6.5" customHeight="1">
      <c r="A71" s="3"/>
      <c r="B71" s="120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6.5" customHeight="1">
      <c r="A72" s="3"/>
      <c r="B72" s="120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6.5" customHeight="1">
      <c r="A73" s="3"/>
      <c r="B73" s="120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6.5" customHeight="1">
      <c r="A74" s="3"/>
      <c r="B74" s="120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6.5" customHeight="1">
      <c r="A75" s="3"/>
      <c r="B75" s="120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6.5" customHeight="1">
      <c r="A76" s="3"/>
      <c r="B76" s="120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6.5" customHeight="1">
      <c r="A77" s="3"/>
      <c r="B77" s="120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6.5" customHeight="1">
      <c r="A78" s="3"/>
      <c r="B78" s="120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6.5" customHeight="1">
      <c r="A79" s="3"/>
      <c r="B79" s="120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6.5" customHeight="1">
      <c r="A80" s="3"/>
      <c r="B80" s="120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6.5" customHeight="1">
      <c r="A81" s="3"/>
      <c r="B81" s="120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6.5" customHeight="1">
      <c r="A82" s="3"/>
      <c r="B82" s="120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6.5" customHeight="1">
      <c r="A83" s="3"/>
      <c r="B83" s="120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6.5" customHeight="1">
      <c r="A84" s="3"/>
      <c r="B84" s="120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6.5" customHeight="1">
      <c r="A85" s="3"/>
      <c r="B85" s="120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6.5" customHeight="1">
      <c r="A86" s="3"/>
      <c r="B86" s="120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6.5" customHeight="1">
      <c r="A87" s="3"/>
      <c r="B87" s="120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6.5" customHeight="1">
      <c r="A88" s="3"/>
      <c r="B88" s="120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6.5" customHeight="1">
      <c r="A89" s="3"/>
      <c r="B89" s="120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6.5" customHeight="1">
      <c r="A90" s="3"/>
      <c r="B90" s="120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6.5" customHeight="1">
      <c r="A91" s="3"/>
      <c r="B91" s="120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6.5" customHeight="1">
      <c r="A92" s="3"/>
      <c r="B92" s="120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6.5" customHeight="1">
      <c r="A93" s="3"/>
      <c r="B93" s="120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6.5" customHeight="1">
      <c r="A94" s="3"/>
      <c r="B94" s="120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6.5" customHeight="1">
      <c r="A95" s="3"/>
      <c r="B95" s="120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6.5" customHeight="1">
      <c r="A96" s="3"/>
      <c r="B96" s="120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6.5" customHeight="1">
      <c r="A97" s="3"/>
      <c r="B97" s="120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6.5" customHeight="1">
      <c r="A98" s="3"/>
      <c r="B98" s="120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6.5" customHeight="1">
      <c r="A99" s="3"/>
      <c r="B99" s="120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6.5" customHeight="1">
      <c r="A100" s="3"/>
      <c r="B100" s="120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6.5" customHeight="1">
      <c r="A101" s="3"/>
      <c r="B101" s="120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6.5" customHeight="1">
      <c r="A102" s="3"/>
      <c r="B102" s="120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6.5" customHeight="1">
      <c r="A103" s="3"/>
      <c r="B103" s="120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6.5" customHeight="1">
      <c r="A104" s="3"/>
      <c r="B104" s="120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6.5" customHeight="1">
      <c r="A105" s="3"/>
      <c r="B105" s="120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6.5" customHeight="1">
      <c r="A106" s="3"/>
      <c r="B106" s="120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6.5" customHeight="1">
      <c r="A107" s="3"/>
      <c r="B107" s="120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6.5" customHeight="1">
      <c r="A108" s="3"/>
      <c r="B108" s="120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6.5" customHeight="1">
      <c r="A109" s="3"/>
      <c r="B109" s="120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6.5" customHeight="1">
      <c r="A110" s="3"/>
      <c r="B110" s="12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6.5" customHeight="1">
      <c r="A111" s="3"/>
      <c r="B111" s="1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6.5" customHeight="1">
      <c r="A112" s="3"/>
      <c r="B112" s="120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6.5" customHeight="1">
      <c r="A113" s="3"/>
      <c r="B113" s="120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6.5" customHeight="1">
      <c r="A114" s="3"/>
      <c r="B114" s="120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6.5" customHeight="1">
      <c r="A115" s="3"/>
      <c r="B115" s="120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6.5" customHeight="1">
      <c r="A116" s="3"/>
      <c r="B116" s="120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6.5" customHeight="1">
      <c r="A117" s="3"/>
      <c r="B117" s="120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6.5" customHeight="1">
      <c r="A118" s="3"/>
      <c r="B118" s="120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6.5" customHeight="1">
      <c r="A119" s="3"/>
      <c r="B119" s="120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6.5" customHeight="1">
      <c r="A120" s="3"/>
      <c r="B120" s="120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6.5" customHeight="1">
      <c r="A121" s="3"/>
      <c r="B121" s="120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6.5" customHeight="1">
      <c r="A122" s="3"/>
      <c r="B122" s="120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6.5" customHeight="1">
      <c r="A123" s="3"/>
      <c r="B123" s="120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6.5" customHeight="1">
      <c r="A124" s="3"/>
      <c r="B124" s="120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6.5" customHeight="1">
      <c r="A125" s="3"/>
      <c r="B125" s="120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6.5" customHeight="1">
      <c r="A126" s="3"/>
      <c r="B126" s="120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6.5" customHeight="1">
      <c r="A127" s="3"/>
      <c r="B127" s="120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6.5" customHeight="1">
      <c r="A128" s="3"/>
      <c r="B128" s="120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6.5" customHeight="1">
      <c r="A129" s="3"/>
      <c r="B129" s="120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6.5" customHeight="1">
      <c r="A130" s="3"/>
      <c r="B130" s="120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6.5" customHeight="1">
      <c r="A131" s="3"/>
      <c r="B131" s="120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6.5" customHeight="1">
      <c r="A132" s="3"/>
      <c r="B132" s="120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6.5" customHeight="1">
      <c r="A133" s="3"/>
      <c r="B133" s="120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6.5" customHeight="1">
      <c r="A134" s="3"/>
      <c r="B134" s="120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6.5" customHeight="1">
      <c r="A135" s="3"/>
      <c r="B135" s="120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6.5" customHeight="1">
      <c r="A136" s="3"/>
      <c r="B136" s="120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6.5" customHeight="1">
      <c r="A137" s="3"/>
      <c r="B137" s="120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6.5" customHeight="1">
      <c r="A138" s="3"/>
      <c r="B138" s="120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6.5" customHeight="1">
      <c r="A139" s="3"/>
      <c r="B139" s="120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6.5" customHeight="1">
      <c r="A140" s="3"/>
      <c r="B140" s="120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6.5" customHeight="1">
      <c r="A141" s="3"/>
      <c r="B141" s="120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6.5" customHeight="1">
      <c r="A142" s="3"/>
      <c r="B142" s="120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6.5" customHeight="1">
      <c r="A143" s="3"/>
      <c r="B143" s="120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6.5" customHeight="1">
      <c r="A144" s="3"/>
      <c r="B144" s="120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6.5" customHeight="1">
      <c r="A145" s="3"/>
      <c r="B145" s="120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6.5" customHeight="1">
      <c r="A146" s="3"/>
      <c r="B146" s="120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6.5" customHeight="1">
      <c r="A147" s="3"/>
      <c r="B147" s="120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6.5" customHeight="1">
      <c r="A148" s="3"/>
      <c r="B148" s="120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6.5" customHeight="1">
      <c r="A149" s="3"/>
      <c r="B149" s="120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6.5" customHeight="1">
      <c r="A150" s="3"/>
      <c r="B150" s="120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6.5" customHeight="1">
      <c r="A151" s="3"/>
      <c r="B151" s="120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6.5" customHeight="1">
      <c r="A152" s="3"/>
      <c r="B152" s="120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6.5" customHeight="1">
      <c r="A153" s="3"/>
      <c r="B153" s="120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6.5" customHeight="1">
      <c r="A154" s="3"/>
      <c r="B154" s="120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6.5" customHeight="1">
      <c r="A155" s="3"/>
      <c r="B155" s="120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6.5" customHeight="1">
      <c r="A156" s="3"/>
      <c r="B156" s="120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6.5" customHeight="1">
      <c r="A157" s="3"/>
      <c r="B157" s="120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6.5" customHeight="1">
      <c r="A158" s="3"/>
      <c r="B158" s="120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6.5" customHeight="1">
      <c r="A159" s="3"/>
      <c r="B159" s="120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6.5" customHeight="1">
      <c r="A160" s="3"/>
      <c r="B160" s="120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6.5" customHeight="1">
      <c r="A161" s="3"/>
      <c r="B161" s="120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6.5" customHeight="1">
      <c r="A162" s="3"/>
      <c r="B162" s="120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6.5" customHeight="1">
      <c r="A163" s="3"/>
      <c r="B163" s="120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6.5" customHeight="1">
      <c r="A164" s="3"/>
      <c r="B164" s="120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6.5" customHeight="1">
      <c r="A165" s="3"/>
      <c r="B165" s="120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6.5" customHeight="1">
      <c r="A166" s="3"/>
      <c r="B166" s="120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6.5" customHeight="1">
      <c r="A167" s="3"/>
      <c r="B167" s="120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6.5" customHeight="1">
      <c r="A168" s="3"/>
      <c r="B168" s="120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6.5" customHeight="1">
      <c r="A169" s="3"/>
      <c r="B169" s="120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6.5" customHeight="1">
      <c r="A170" s="3"/>
      <c r="B170" s="120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6.5" customHeight="1">
      <c r="A171" s="3"/>
      <c r="B171" s="120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6.5" customHeight="1">
      <c r="A172" s="3"/>
      <c r="B172" s="120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6.5" customHeight="1">
      <c r="A173" s="3"/>
      <c r="B173" s="120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6.5" customHeight="1">
      <c r="A174" s="3"/>
      <c r="B174" s="120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6.5" customHeight="1">
      <c r="A175" s="3"/>
      <c r="B175" s="120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6.5" customHeight="1">
      <c r="A176" s="3"/>
      <c r="B176" s="120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6.5" customHeight="1">
      <c r="A177" s="3"/>
      <c r="B177" s="120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6.5" customHeight="1">
      <c r="A178" s="3"/>
      <c r="B178" s="120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6.5" customHeight="1">
      <c r="A179" s="3"/>
      <c r="B179" s="120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6.5" customHeight="1">
      <c r="A180" s="3"/>
      <c r="B180" s="120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6.5" customHeight="1">
      <c r="A181" s="3"/>
      <c r="B181" s="120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6.5" customHeight="1">
      <c r="A182" s="3"/>
      <c r="B182" s="120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6.5" customHeight="1">
      <c r="A183" s="3"/>
      <c r="B183" s="120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6.5" customHeight="1">
      <c r="A184" s="3"/>
      <c r="B184" s="120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6.5" customHeight="1">
      <c r="A185" s="3"/>
      <c r="B185" s="120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6.5" customHeight="1">
      <c r="A186" s="3"/>
      <c r="B186" s="120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6.5" customHeight="1">
      <c r="A187" s="3"/>
      <c r="B187" s="120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6.5" customHeight="1">
      <c r="A188" s="3"/>
      <c r="B188" s="120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6.5" customHeight="1">
      <c r="A189" s="3"/>
      <c r="B189" s="120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6.5" customHeight="1">
      <c r="A190" s="3"/>
      <c r="B190" s="120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6.5" customHeight="1">
      <c r="A191" s="3"/>
      <c r="B191" s="120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6.5" customHeight="1">
      <c r="A192" s="3"/>
      <c r="B192" s="120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6.5" customHeight="1">
      <c r="A193" s="3"/>
      <c r="B193" s="120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6.5" customHeight="1">
      <c r="A194" s="3"/>
      <c r="B194" s="120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6.5" customHeight="1">
      <c r="A195" s="3"/>
      <c r="B195" s="120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6.5" customHeight="1">
      <c r="A196" s="3"/>
      <c r="B196" s="120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6.5" customHeight="1">
      <c r="A197" s="3"/>
      <c r="B197" s="120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6.5" customHeight="1">
      <c r="A198" s="3"/>
      <c r="B198" s="120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6.5" customHeight="1">
      <c r="A199" s="3"/>
      <c r="B199" s="120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6.5" customHeight="1">
      <c r="A200" s="3"/>
      <c r="B200" s="120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6.5" customHeight="1">
      <c r="A201" s="3"/>
      <c r="B201" s="120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6.5" customHeight="1">
      <c r="A202" s="3"/>
      <c r="B202" s="120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6.5" customHeight="1">
      <c r="A203" s="3"/>
      <c r="B203" s="120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6.5" customHeight="1">
      <c r="A204" s="3"/>
      <c r="B204" s="120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6.5" customHeight="1">
      <c r="A205" s="3"/>
      <c r="B205" s="120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6.5" customHeight="1">
      <c r="A206" s="3"/>
      <c r="B206" s="120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6.5" customHeight="1">
      <c r="A207" s="3"/>
      <c r="B207" s="120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6.5" customHeight="1">
      <c r="A208" s="3"/>
      <c r="B208" s="120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6.5" customHeight="1">
      <c r="A209" s="3"/>
      <c r="B209" s="120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6.5" customHeight="1">
      <c r="A210" s="3"/>
      <c r="B210" s="120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6.5" customHeight="1">
      <c r="A211" s="3"/>
      <c r="B211" s="120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6.5" customHeight="1">
      <c r="A212" s="3"/>
      <c r="B212" s="120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6.5" customHeight="1">
      <c r="A213" s="3"/>
      <c r="B213" s="120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6.5" customHeight="1">
      <c r="A214" s="3"/>
      <c r="B214" s="120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6.5" customHeight="1">
      <c r="A215" s="3"/>
      <c r="B215" s="120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6.5" customHeight="1">
      <c r="A216" s="3"/>
      <c r="B216" s="120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6.5" customHeight="1">
      <c r="A217" s="3"/>
      <c r="B217" s="120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6.5" customHeight="1">
      <c r="A218" s="3"/>
      <c r="B218" s="120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6.5" customHeight="1">
      <c r="A219" s="3"/>
      <c r="B219" s="120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6.5" customHeight="1">
      <c r="A220" s="3"/>
      <c r="B220" s="120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showGridLines="0" workbookViewId="0">
      <pane xSplit="7.0" ySplit="7.0" topLeftCell="H8" activePane="bottomRight" state="frozen"/>
      <selection activeCell="H1" sqref="H1" pane="topRight"/>
      <selection activeCell="A8" sqref="A8" pane="bottomLeft"/>
      <selection activeCell="H8" sqref="H8" pane="bottomRight"/>
    </sheetView>
  </sheetViews>
  <sheetFormatPr customHeight="1" defaultColWidth="14.43" defaultRowHeight="15.0"/>
  <cols>
    <col customWidth="1" min="1" max="1" width="25.71"/>
    <col customWidth="1" min="2" max="2" width="24.14"/>
    <col customWidth="1" min="3" max="6" width="15.71"/>
    <col customWidth="1" min="7" max="7" width="14.71"/>
    <col customWidth="1" min="8" max="31" width="10.71"/>
    <col customWidth="1" min="32" max="32" width="14.86"/>
    <col customWidth="1" min="33" max="34" width="10.71"/>
    <col customWidth="1" min="35" max="35" width="15.57"/>
    <col customWidth="1" min="36" max="131" width="10.71"/>
    <col customWidth="1" min="132" max="132" width="14.43"/>
    <col customWidth="1" min="133" max="137" width="11.43"/>
  </cols>
  <sheetData>
    <row r="1" ht="19.5" customHeight="1">
      <c r="A1" s="1" t="s">
        <v>203</v>
      </c>
      <c r="B1" s="2"/>
      <c r="C1" s="121"/>
      <c r="D1" s="121"/>
      <c r="E1" s="1" t="s">
        <v>204</v>
      </c>
      <c r="F1" s="122" t="s">
        <v>205</v>
      </c>
      <c r="G1" s="3"/>
      <c r="H1" s="123" t="str">
        <f>IF(OR(H5=Feiertage!$B$2,H5=Feiertage!$B$3,H5=Feiertage!$B$4,H5=Feiertage!$B$5,H5=Feiertage!$B$6,H5=Feiertage!$B$7,H5=Feiertage!$B$8,H5=Feiertage!$B$9,H5=Feiertage!$B$10,H5=Feiertage!$B$11,H5=Feiertage!$B$12,H5=Feiertage!$B$13,H5=Feiertage!$B$14),"Feiertag","-")</f>
        <v>-</v>
      </c>
      <c r="I1" s="124"/>
      <c r="J1" s="124"/>
      <c r="K1" s="125"/>
      <c r="L1" s="123" t="str">
        <f>IF(OR(L5=Feiertage!$B$2,L5=Feiertage!$B$3,L5=Feiertage!$B$4,L5=Feiertage!$B$5,L5=Feiertage!$B$6,L5=Feiertage!$B$7,L5=Feiertage!$B$8,L5=Feiertage!$B$9,L5=Feiertage!$B$10,L5=Feiertage!$B$11,L5=Feiertage!$B$12,L5=Feiertage!$B$13,L5=Feiertage!$B$14),"Feiertag","-")</f>
        <v>-</v>
      </c>
      <c r="M1" s="124"/>
      <c r="N1" s="124"/>
      <c r="O1" s="125"/>
      <c r="P1" s="123" t="str">
        <f>IF(OR(P5=Feiertage!$B$2,P5=Feiertage!$B$3,P5=Feiertage!$B$4,P5=Feiertage!$B$5,P5=Feiertage!$B$6,P5=Feiertage!$B$7,P5=Feiertage!$B$8,P5=Feiertage!$B$9,P5=Feiertage!$B$10,P5=Feiertage!$B$11,P5=Feiertage!$B$12,P5=Feiertage!$B$13,P5=Feiertage!$B$14),"Feiertag","-")</f>
        <v>-</v>
      </c>
      <c r="Q1" s="124"/>
      <c r="R1" s="124"/>
      <c r="S1" s="125"/>
      <c r="T1" s="123" t="str">
        <f>IF(OR(T5=Feiertage!$B$2,T5=Feiertage!$B$3,T5=Feiertage!$B$4,T5=Feiertage!$B$5,T5=Feiertage!$B$6,T5=Feiertage!$B$7,T5=Feiertage!$B$8,T5=Feiertage!$B$9,T5=Feiertage!$B$10,T5=Feiertage!$B$11,T5=Feiertage!$B$12,T5=Feiertage!$B$13,T5=Feiertage!$B$14),"Feiertag","-")</f>
        <v>-</v>
      </c>
      <c r="U1" s="124"/>
      <c r="V1" s="124"/>
      <c r="W1" s="125"/>
      <c r="X1" s="123" t="str">
        <f>IF(OR(X5=Feiertage!$B$2,X5=Feiertage!$B$3,X5=Feiertage!$B$4,X5=Feiertage!$B$5,X5=Feiertage!$B$6,X5=Feiertage!$B$7,X5=Feiertage!$B$8,X5=Feiertage!$B$9,X5=Feiertage!$B$10,X5=Feiertage!$B$11,X5=Feiertage!$B$12,X5=Feiertage!$B$13,X5=Feiertage!$B$14),"Feiertag","-")</f>
        <v>-</v>
      </c>
      <c r="Y1" s="124"/>
      <c r="Z1" s="124"/>
      <c r="AA1" s="125"/>
      <c r="AB1" s="123" t="str">
        <f>IF(OR(AB5=Feiertage!$B$2,AB5=Feiertage!$B$3,AB5=Feiertage!$B$4,AB5=Feiertage!$B$5,AB5=Feiertage!$B$6,AB5=Feiertage!$B$7,AB5=Feiertage!$B$8,AB5=Feiertage!$B$9,AB5=Feiertage!$B$10,AB5=Feiertage!$B$11,AB5=Feiertage!$B$12,AB5=Feiertage!$B$13,AB5=Feiertage!$B$14),"Feiertag","-")</f>
        <v>-</v>
      </c>
      <c r="AC1" s="124"/>
      <c r="AD1" s="124"/>
      <c r="AE1" s="125"/>
      <c r="AF1" s="123" t="str">
        <f>IF(OR(AF5=Feiertage!$B$2,AF5=Feiertage!$B$3,AF5=Feiertage!$B$4,AF5=Feiertage!$B$5,AF5=Feiertage!$B$6,AF5=Feiertage!$B$7,AF5=Feiertage!$B$8,AF5=Feiertage!$B$9,AF5=Feiertage!$B$10,AF5=Feiertage!$B$11,AF5=Feiertage!$B$12,AF5=Feiertage!$B$13,AF5=Feiertage!$B$14),"Feiertag","-")</f>
        <v>-</v>
      </c>
      <c r="AG1" s="124"/>
      <c r="AH1" s="124"/>
      <c r="AI1" s="125"/>
      <c r="AJ1" s="123" t="str">
        <f>IF(OR(AJ5=Feiertage!$B$2,AJ5=Feiertage!$B$3,AJ5=Feiertage!$B$4,AJ5=Feiertage!$B$5,AJ5=Feiertage!$B$6,AJ5=Feiertage!$B$7,AJ5=Feiertage!$B$8,AJ5=Feiertage!$B$9,AJ5=Feiertage!$B$10,AJ5=Feiertage!$B$11,AJ5=Feiertage!$B$12,AJ5=Feiertage!$B$13,AJ5=Feiertage!$B$14),"Feiertag","-")</f>
        <v>-</v>
      </c>
      <c r="AK1" s="124"/>
      <c r="AL1" s="124"/>
      <c r="AM1" s="125"/>
      <c r="AN1" s="123" t="str">
        <f>IF(OR(AN5=Feiertage!$B$2,AN5=Feiertage!$B$3,AN5=Feiertage!$B$4,AN5=Feiertage!$B$5,AN5=Feiertage!$B$6,AN5=Feiertage!$B$7,AN5=Feiertage!$B$8,AN5=Feiertage!$B$9,AN5=Feiertage!$B$10,AN5=Feiertage!$B$11,AN5=Feiertage!$B$12,AN5=Feiertage!$B$13,AN5=Feiertage!$B$14),"Feiertag","-")</f>
        <v>-</v>
      </c>
      <c r="AO1" s="124"/>
      <c r="AP1" s="124"/>
      <c r="AQ1" s="125"/>
      <c r="AR1" s="123" t="str">
        <f>IF(OR(AR5=Feiertage!$B$2,AR5=Feiertage!$B$3,AR5=Feiertage!$B$4,AR5=Feiertage!$B$5,AR5=Feiertage!$B$6,AR5=Feiertage!$B$7,AR5=Feiertage!$B$8,AR5=Feiertage!$B$9,AR5=Feiertage!$B$10,AR5=Feiertage!$B$11,AR5=Feiertage!$B$12,AR5=Feiertage!$B$13,AR5=Feiertage!$B$14),"Feiertag","-")</f>
        <v>-</v>
      </c>
      <c r="AS1" s="124"/>
      <c r="AT1" s="124"/>
      <c r="AU1" s="125"/>
      <c r="AV1" s="123" t="str">
        <f>IF(OR(AV5=Feiertage!$B$2,AV5=Feiertage!$B$3,AV5=Feiertage!$B$4,AV5=Feiertage!$B$5,AV5=Feiertage!$B$6,AV5=Feiertage!$B$7,AV5=Feiertage!$B$8,AV5=Feiertage!$B$9,AV5=Feiertage!$B$10,AV5=Feiertage!$B$11,AV5=Feiertage!$B$12,AV5=Feiertage!$B$13,AV5=Feiertage!$B$14),"Feiertag","-")</f>
        <v>-</v>
      </c>
      <c r="AW1" s="124"/>
      <c r="AX1" s="124"/>
      <c r="AY1" s="125"/>
      <c r="AZ1" s="123" t="str">
        <f>IF(OR(AZ5=Feiertage!$B$2,AZ5=Feiertage!$B$3,AZ5=Feiertage!$B$4,AZ5=Feiertage!$B$5,AZ5=Feiertage!$B$6,AZ5=Feiertage!$B$7,AZ5=Feiertage!$B$8,AZ5=Feiertage!$B$9,AZ5=Feiertage!$B$10,AZ5=Feiertage!$B$11,AZ5=Feiertage!$B$12,AZ5=Feiertage!$B$13,AZ5=Feiertage!$B$14),"Feiertag","-")</f>
        <v>-</v>
      </c>
      <c r="BA1" s="124"/>
      <c r="BB1" s="124"/>
      <c r="BC1" s="125"/>
      <c r="BD1" s="123" t="str">
        <f>IF(OR(BD5=Feiertage!$B$2,BD5=Feiertage!$B$3,BD5=Feiertage!$B$4,BD5=Feiertage!$B$5,BD5=Feiertage!$B$6,BD5=Feiertage!$B$7,BD5=Feiertage!$B$8,BD5=Feiertage!$B$9,BD5=Feiertage!$B$10,BD5=Feiertage!$B$11,BD5=Feiertage!$B$12,BD5=Feiertage!$B$13,BD5=Feiertage!$B$14),"Feiertag","-")</f>
        <v>-</v>
      </c>
      <c r="BE1" s="124"/>
      <c r="BF1" s="124"/>
      <c r="BG1" s="125"/>
      <c r="BH1" s="123" t="str">
        <f>IF(OR(BH5=Feiertage!$B$2,BH5=Feiertage!$B$3,BH5=Feiertage!$B$4,BH5=Feiertage!$B$5,BH5=Feiertage!$B$6,BH5=Feiertage!$B$7,BH5=Feiertage!$B$8,BH5=Feiertage!$B$9,BH5=Feiertage!$B$10,BH5=Feiertage!$B$11,BH5=Feiertage!$B$12,BH5=Feiertage!$B$13,BH5=Feiertage!$B$14),"Feiertag","-")</f>
        <v>-</v>
      </c>
      <c r="BI1" s="124"/>
      <c r="BJ1" s="124"/>
      <c r="BK1" s="125"/>
      <c r="BL1" s="123" t="str">
        <f>IF(OR(BL5=Feiertage!$B$2,BL5=Feiertage!$B$3,BL5=Feiertage!$B$4,BL5=Feiertage!$B$5,BL5=Feiertage!$B$6,BL5=Feiertage!$B$7,BL5=Feiertage!$B$8,BL5=Feiertage!$B$9,BL5=Feiertage!$B$10,BL5=Feiertage!$B$11,BL5=Feiertage!$B$12,BL5=Feiertage!$B$13,BL5=Feiertage!$B$14),"Feiertag","-")</f>
        <v>-</v>
      </c>
      <c r="BM1" s="124"/>
      <c r="BN1" s="124"/>
      <c r="BO1" s="125"/>
      <c r="BP1" s="123" t="str">
        <f>IF(OR(BP5=Feiertage!$B$2,BP5=Feiertage!$B$3,BP5=Feiertage!$B$4,BP5=Feiertage!$B$5,BP5=Feiertage!$B$6,BP5=Feiertage!$B$7,BP5=Feiertage!$B$8,BP5=Feiertage!$B$9,BP5=Feiertage!$B$10,BP5=Feiertage!$B$11,BP5=Feiertage!$B$12,BP5=Feiertage!$B$13,BP5=Feiertage!$B$14),"Feiertag","-")</f>
        <v>-</v>
      </c>
      <c r="BQ1" s="124"/>
      <c r="BR1" s="124"/>
      <c r="BS1" s="125"/>
      <c r="BT1" s="123" t="str">
        <f>IF(OR(BT5=Feiertage!$B$2,BT5=Feiertage!$B$3,BT5=Feiertage!$B$4,BT5=Feiertage!$B$5,BT5=Feiertage!$B$6,BT5=Feiertage!$B$7,BT5=Feiertage!$B$8,BT5=Feiertage!$B$9,BT5=Feiertage!$B$10,BT5=Feiertage!$B$11,BT5=Feiertage!$B$12,BT5=Feiertage!$B$13,BT5=Feiertage!$B$14),"Feiertag","-")</f>
        <v>-</v>
      </c>
      <c r="BU1" s="124"/>
      <c r="BV1" s="124"/>
      <c r="BW1" s="125"/>
      <c r="BX1" s="123" t="str">
        <f>IF(OR(BX5=Feiertage!$B$2,BX5=Feiertage!$B$3,BX5=Feiertage!$B$4,BX5=Feiertage!$B$5,BX5=Feiertage!$B$6,BX5=Feiertage!$B$7,BX5=Feiertage!$B$8,BX5=Feiertage!$B$9,BX5=Feiertage!$B$10,BX5=Feiertage!$B$11,BX5=Feiertage!$B$12,BX5=Feiertage!$B$13,BX5=Feiertage!$B$14),"Feiertag","-")</f>
        <v>-</v>
      </c>
      <c r="BY1" s="124"/>
      <c r="BZ1" s="124"/>
      <c r="CA1" s="125"/>
      <c r="CB1" s="123" t="str">
        <f>IF(OR(CB5=Feiertage!$B$2,CB5=Feiertage!$B$3,CB5=Feiertage!$B$4,CB5=Feiertage!$B$5,CB5=Feiertage!$B$6,CB5=Feiertage!$B$7,CB5=Feiertage!$B$8,CB5=Feiertage!$B$9,CB5=Feiertage!$B$10,CB5=Feiertage!$B$11,CB5=Feiertage!$B$12,CB5=Feiertage!$B$13,CB5=Feiertage!$B$14),"Feiertag","-")</f>
        <v>-</v>
      </c>
      <c r="CC1" s="124"/>
      <c r="CD1" s="124"/>
      <c r="CE1" s="125"/>
      <c r="CF1" s="123" t="str">
        <f>IF(OR(CF5=Feiertage!$B$2,CF5=Feiertage!$B$3,CF5=Feiertage!$B$4,CF5=Feiertage!$B$5,CF5=Feiertage!$B$6,CF5=Feiertage!$B$7,CF5=Feiertage!$B$8,CF5=Feiertage!$B$9,CF5=Feiertage!$B$10,CF5=Feiertage!$B$11,CF5=Feiertage!$B$12,CF5=Feiertage!$B$13,CF5=Feiertage!$B$14),"Feiertag","-")</f>
        <v>-</v>
      </c>
      <c r="CG1" s="124"/>
      <c r="CH1" s="124"/>
      <c r="CI1" s="125"/>
      <c r="CJ1" s="123" t="str">
        <f>IF(OR(CJ5=Feiertage!$B$2,CJ5=Feiertage!$B$3,CJ5=Feiertage!$B$4,CJ5=Feiertage!$B$5,CJ5=Feiertage!$B$6,CJ5=Feiertage!$B$7,CJ5=Feiertage!$B$8,CJ5=Feiertage!$B$9,CJ5=Feiertage!$B$10,CJ5=Feiertage!$B$11,CJ5=Feiertage!$B$12,CJ5=Feiertage!$B$13,CJ5=Feiertage!$B$14),"Feiertag","-")</f>
        <v>-</v>
      </c>
      <c r="CK1" s="124"/>
      <c r="CL1" s="124"/>
      <c r="CM1" s="125"/>
      <c r="CN1" s="123" t="str">
        <f>IF(OR(CN5=Feiertage!$B$2,CN5=Feiertage!$B$3,CN5=Feiertage!$B$4,CN5=Feiertage!$B$5,CN5=Feiertage!$B$6,CN5=Feiertage!$B$7,CN5=Feiertage!$B$8,CN5=Feiertage!$B$9,CN5=Feiertage!$B$10,CN5=Feiertage!$B$11,CN5=Feiertage!$B$12,CN5=Feiertage!$B$13,CN5=Feiertage!$B$14),"Feiertag","-")</f>
        <v>-</v>
      </c>
      <c r="CO1" s="124"/>
      <c r="CP1" s="124"/>
      <c r="CQ1" s="125"/>
      <c r="CR1" s="123" t="str">
        <f>IF(OR(CR5=Feiertage!$B$2,CR5=Feiertage!$B$3,CR5=Feiertage!$B$4,CR5=Feiertage!$B$5,CR5=Feiertage!$B$6,CR5=Feiertage!$B$7,CR5=Feiertage!$B$8,CR5=Feiertage!$B$9,CR5=Feiertage!$B$10,CR5=Feiertage!$B$11,CR5=Feiertage!$B$12,CR5=Feiertage!$B$13,CR5=Feiertage!$B$14),"Feiertag","-")</f>
        <v>-</v>
      </c>
      <c r="CS1" s="124"/>
      <c r="CT1" s="124"/>
      <c r="CU1" s="125"/>
      <c r="CV1" s="123" t="str">
        <f>IF(OR(CV5=Feiertage!$B$2,CV5=Feiertage!$B$3,CV5=Feiertage!$B$4,CV5=Feiertage!$B$5,CV5=Feiertage!$B$6,CV5=Feiertage!$B$7,CV5=Feiertage!$B$8,CV5=Feiertage!$B$9,CV5=Feiertage!$B$10,CV5=Feiertage!$B$11,CV5=Feiertage!$B$12,CV5=Feiertage!$B$13,CV5=Feiertage!$B$14),"Feiertag","-")</f>
        <v>-</v>
      </c>
      <c r="CW1" s="124"/>
      <c r="CX1" s="124"/>
      <c r="CY1" s="125"/>
      <c r="CZ1" s="123" t="str">
        <f>IF(OR(CZ5=Feiertage!$B$2,CZ5=Feiertage!$B$3,CZ5=Feiertage!$B$4,CZ5=Feiertage!$B$5,CZ5=Feiertage!$B$6,CZ5=Feiertage!$B$7,CZ5=Feiertage!$B$8,CZ5=Feiertage!$B$9,CZ5=Feiertage!$B$10,CZ5=Feiertage!$B$11,CZ5=Feiertage!$B$12,CZ5=Feiertage!$B$13,CZ5=Feiertage!$B$14),"Feiertag","-")</f>
        <v>-</v>
      </c>
      <c r="DA1" s="124"/>
      <c r="DB1" s="124"/>
      <c r="DC1" s="125"/>
      <c r="DD1" s="123" t="str">
        <f>IF(OR(DD5=Feiertage!$B$2,DD5=Feiertage!$B$3,DD5=Feiertage!$B$4,DD5=Feiertage!$B$5,DD5=Feiertage!$B$6,DD5=Feiertage!$B$7,DD5=Feiertage!$B$8,DD5=Feiertage!$B$9,DD5=Feiertage!$B$10,DD5=Feiertage!$B$11,DD5=Feiertage!$B$12,DD5=Feiertage!$B$13,DD5=Feiertage!$B$14),"Feiertag","-")</f>
        <v>-</v>
      </c>
      <c r="DE1" s="124"/>
      <c r="DF1" s="124"/>
      <c r="DG1" s="125"/>
      <c r="DH1" s="123" t="str">
        <f>IF(OR(DH5=Feiertage!$B$2,DH5=Feiertage!$B$3,DH5=Feiertage!$B$4,DH5=Feiertage!$B$5,DH5=Feiertage!$B$6,DH5=Feiertage!$B$7,DH5=Feiertage!$B$8,DH5=Feiertage!$B$9,DH5=Feiertage!$B$10,DH5=Feiertage!$B$11,DH5=Feiertage!$B$12,DH5=Feiertage!$B$13,DH5=Feiertage!$B$14),"Feiertag","-")</f>
        <v>-</v>
      </c>
      <c r="DI1" s="124"/>
      <c r="DJ1" s="124"/>
      <c r="DK1" s="125"/>
      <c r="DL1" s="123" t="str">
        <f>IF(OR(DL5=Feiertage!$B$2,DL5=Feiertage!$B$3,DL5=Feiertage!$B$4,DL5=Feiertage!$B$5,DL5=Feiertage!$B$6,DL5=Feiertage!$B$7,DL5=Feiertage!$B$8,DL5=Feiertage!$B$9,DL5=Feiertage!$B$10,DL5=Feiertage!$B$11,DL5=Feiertage!$B$12,DL5=Feiertage!$B$13,DL5=Feiertage!$B$14),"Feiertag","-")</f>
        <v>-</v>
      </c>
      <c r="DM1" s="124"/>
      <c r="DN1" s="124"/>
      <c r="DO1" s="125"/>
      <c r="DP1" s="123" t="str">
        <f>IF(OR(DP5=Feiertage!$B$2,DP5=Feiertage!$B$3,DP5=Feiertage!$B$4,DP5=Feiertage!$B$5,DP5=Feiertage!$B$6,DP5=Feiertage!$B$7,DP5=Feiertage!$B$8,DP5=Feiertage!$B$9,DP5=Feiertage!$B$10,DP5=Feiertage!$B$11,DP5=Feiertage!$B$12,DP5=Feiertage!$B$13,DP5=Feiertage!$B$14),"Feiertag","-")</f>
        <v>-</v>
      </c>
      <c r="DQ1" s="124"/>
      <c r="DR1" s="124"/>
      <c r="DS1" s="125"/>
      <c r="DT1" s="123" t="str">
        <f>IF(OR(DT5=Feiertage!$B$2,DT5=Feiertage!$B$3,DT5=Feiertage!$B$4,DT5=Feiertage!$B$5,DT5=Feiertage!$B$6,DT5=Feiertage!$B$7,DT5=Feiertage!$B$8,DT5=Feiertage!$B$9,DT5=Feiertage!$B$10,DT5=Feiertage!$B$11,DT5=Feiertage!$B$12,DT5=Feiertage!$B$13,DT5=Feiertage!$B$14),"Feiertag","-")</f>
        <v>-</v>
      </c>
      <c r="DU1" s="124"/>
      <c r="DV1" s="124"/>
      <c r="DW1" s="125"/>
      <c r="DX1" s="123" t="str">
        <f>IF(OR(DX5=Feiertage!$B$2,DX5=Feiertage!$B$3,DX5=Feiertage!$B$4,DX5=Feiertage!$B$5,DX5=Feiertage!$B$6,DX5=Feiertage!$B$7,DX5=Feiertage!$B$8,DX5=Feiertage!$B$9,DX5=Feiertage!$B$10,DX5=Feiertage!$B$11,DX5=Feiertage!$B$12,DX5=Feiertage!$B$13,DX5=Feiertage!$B$14),"Feiertag","-")</f>
        <v>-</v>
      </c>
      <c r="DY1" s="124"/>
      <c r="DZ1" s="124"/>
      <c r="EA1" s="125"/>
      <c r="EB1" s="3"/>
      <c r="EC1" s="126"/>
      <c r="ED1" s="3"/>
      <c r="EE1" s="3"/>
      <c r="EF1" s="3"/>
      <c r="EG1" s="3"/>
    </row>
    <row r="2" ht="19.5" customHeight="1">
      <c r="A2" s="127" t="s">
        <v>1</v>
      </c>
      <c r="B2" s="128" t="s">
        <v>206</v>
      </c>
      <c r="C2" s="129" t="str">
        <f>B2</f>
        <v>Juli</v>
      </c>
      <c r="D2" s="130" t="s">
        <v>207</v>
      </c>
      <c r="E2" s="131" t="str">
        <f>IF(B6="Sommer [m.S.]",SUM(SommermS),IF(B6="Winter [m.S.]",SUM(WintermS),IF(B6="Sommer [o.S.]",SUM(SommeroS),IF(B6="Winter [o.S.]",SUM(WinteroS)))))</f>
        <v>#NAME?</v>
      </c>
      <c r="F2" s="132" t="str">
        <f>IF(B6="Sommer [o.S.]",SUM(SommeroS),IF(B6="Winter [o.S.]",SUM(WinteroS),SUM(SommeroS)))</f>
        <v>#NAME?</v>
      </c>
      <c r="G2" s="133" t="s">
        <v>208</v>
      </c>
      <c r="H2" s="123" t="str">
        <f>IF(AND(OR(H6="Montag",H6="Dienstag",H6="Mittwoch",H6="Donnerstag",H6="Freitag"),H4="Schule",$E$2=H30),"ok",IF(AND(H4="schulfrei",H30=$F$2),"ok",IF(AND(H6="Samstag",$E$3=H30),"ok",IF(AND(H6="Sonntag",$E$4=H30),"ok",IF(AND(H1="Feiertag",$E$5=H30),"ok","prüfen")))))</f>
        <v>#NAME?</v>
      </c>
      <c r="I2" s="124"/>
      <c r="J2" s="124"/>
      <c r="K2" s="125"/>
      <c r="L2" s="123" t="str">
        <f>IF(AND(OR(L6="Montag",L6="Dienstag",L6="Mittwoch",L6="Donnerstag",L6="Freitag"),L4="Schule",$E$2=L30),"ok",IF(AND(L4="schulfrei",L30=$F$2),"ok",IF(AND(L6="Samstag",$E$3=L30),"ok",IF(AND(L6="Sonntag",$E$4=L30),"ok",IF(AND(L1="Feiertag",$E$5=L30),"ok","prüfen")))))</f>
        <v>#NAME?</v>
      </c>
      <c r="M2" s="124"/>
      <c r="N2" s="124"/>
      <c r="O2" s="125"/>
      <c r="P2" s="123" t="str">
        <f>IF(AND(OR(P6="Montag",P6="Dienstag",P6="Mittwoch",P6="Donnerstag",P6="Freitag"),P4="Schule",$E$2=P30),"ok",IF(AND(P4="schulfrei",P30=$F$2),"ok",IF(AND(P6="Samstag",$E$3=P30),"ok",IF(AND(P6="Sonntag",$E$4=P30),"ok",IF(AND(P1="Feiertag",$E$5=P30),"ok","prüfen")))))</f>
        <v>#NAME?</v>
      </c>
      <c r="Q2" s="124"/>
      <c r="R2" s="124"/>
      <c r="S2" s="125"/>
      <c r="T2" s="123" t="str">
        <f>IF(AND(OR(T6="Montag",T6="Dienstag",T6="Mittwoch",T6="Donnerstag",T6="Freitag"),T4="Schule",$E$2=T30),"ok",IF(AND(T4="schulfrei",T30=$F$2),"ok",IF(AND(T6="Samstag",$E$3=T30),"ok",IF(AND(T6="Sonntag",$E$4=T30),"ok",IF(AND(T1="Feiertag",$E$5=T30),"ok","prüfen")))))</f>
        <v>#NAME?</v>
      </c>
      <c r="U2" s="124"/>
      <c r="V2" s="124"/>
      <c r="W2" s="125"/>
      <c r="X2" s="123" t="str">
        <f>IF(AND(OR(X6="Montag",X6="Dienstag",X6="Mittwoch",X6="Donnerstag",X6="Freitag"),X4="Schule",$E$2=X30),"ok",IF(AND(X4="schulfrei",X30=$F$2),"ok",IF(AND(X6="Samstag",$E$3=X30),"ok",IF(AND(X6="Sonntag",$E$4=X30),"ok",IF(AND(X1="Feiertag",$E$5=X30),"ok","prüfen")))))</f>
        <v>#NAME?</v>
      </c>
      <c r="Y2" s="124"/>
      <c r="Z2" s="124"/>
      <c r="AA2" s="125"/>
      <c r="AB2" s="123" t="str">
        <f>IF(AND(OR(AB6="Montag",AB6="Dienstag",AB6="Mittwoch",AB6="Donnerstag",AB6="Freitag"),AB4="Schule",$E$2=AB30),"ok",IF(AND(AB4="schulfrei",AB30=$F$2),"ok",IF(AND(AB6="Samstag",$E$3=AB30),"ok",IF(AND(AB6="Sonntag",$E$4=AB30),"ok",IF(AND(AB1="Feiertag",$E$5=AB30),"ok","prüfen")))))</f>
        <v>#NAME?</v>
      </c>
      <c r="AC2" s="124"/>
      <c r="AD2" s="124"/>
      <c r="AE2" s="125"/>
      <c r="AF2" s="123" t="str">
        <f>IF(AND(OR(AF6="Montag",AF6="Dienstag",AF6="Mittwoch",AF6="Donnerstag",AF6="Freitag"),AF4="Schule",$E$2=AF30),"ok",IF(AND(AF4="schulfrei",AF30=$F$2),"ok",IF(AND(AF6="Samstag",$E$3=AF30),"ok",IF(AND(AF6="Sonntag",$E$4=AF30),"ok",IF(AND(AF1="Feiertag",$E$5=AF30),"ok","prüfen")))))</f>
        <v>#NAME?</v>
      </c>
      <c r="AG2" s="124"/>
      <c r="AH2" s="124"/>
      <c r="AI2" s="125"/>
      <c r="AJ2" s="123" t="str">
        <f>IF(AND(OR(AJ6="Montag",AJ6="Dienstag",AJ6="Mittwoch",AJ6="Donnerstag",AJ6="Freitag"),AJ4="Schule",$E$2=AJ30),"ok",IF(AND(AJ4="schulfrei",AJ30=$F$2),"ok",IF(AND(AJ6="Samstag",$E$3=AJ30),"ok",IF(AND(AJ6="Sonntag",$E$4=AJ30),"ok",IF(AND(AJ1="Feiertag",$E$5=AJ30),"ok","prüfen")))))</f>
        <v>#NAME?</v>
      </c>
      <c r="AK2" s="124"/>
      <c r="AL2" s="124"/>
      <c r="AM2" s="125"/>
      <c r="AN2" s="123" t="str">
        <f>IF(AND(OR(AN6="Montag",AN6="Dienstag",AN6="Mittwoch",AN6="Donnerstag",AN6="Freitag"),AN4="Schule",$E$2=AN30),"ok",IF(AND(AN4="schulfrei",AN30=$F$2),"ok",IF(AND(AN6="Samstag",$E$3=AN30),"ok",IF(AND(AN6="Sonntag",$E$4=AN30),"ok",IF(AND(AN1="Feiertag",$E$5=AN30),"ok","prüfen")))))</f>
        <v>#NAME?</v>
      </c>
      <c r="AO2" s="124"/>
      <c r="AP2" s="124"/>
      <c r="AQ2" s="125"/>
      <c r="AR2" s="123" t="str">
        <f>IF(AND(OR(AR6="Montag",AR6="Dienstag",AR6="Mittwoch",AR6="Donnerstag",AR6="Freitag"),AR4="Schule",$E$2=AR30),"ok",IF(AND(AR4="schulfrei",AR30=$F$2),"ok",IF(AND(AR6="Samstag",$E$3=AR30),"ok",IF(AND(AR6="Sonntag",$E$4=AR30),"ok",IF(AND(AR1="Feiertag",$E$5=AR30),"ok","prüfen")))))</f>
        <v>#NAME?</v>
      </c>
      <c r="AS2" s="124"/>
      <c r="AT2" s="124"/>
      <c r="AU2" s="125"/>
      <c r="AV2" s="123" t="str">
        <f>IF(AND(OR(AV6="Montag",AV6="Dienstag",AV6="Mittwoch",AV6="Donnerstag",AV6="Freitag"),AV4="Schule",$E$2=AV30),"ok",IF(AND(AV4="schulfrei",AV30=$F$2),"ok",IF(AND(AV6="Samstag",$E$3=AV30),"ok",IF(AND(AV6="Sonntag",$E$4=AV30),"ok",IF(AND(AV1="Feiertag",$E$5=AV30),"ok","prüfen")))))</f>
        <v>#NAME?</v>
      </c>
      <c r="AW2" s="124"/>
      <c r="AX2" s="124"/>
      <c r="AY2" s="125"/>
      <c r="AZ2" s="123" t="str">
        <f>IF(AND(OR(AZ6="Montag",AZ6="Dienstag",AZ6="Mittwoch",AZ6="Donnerstag",AZ6="Freitag"),AZ4="Schule",$E$2=AZ30),"ok",IF(AND(AZ4="schulfrei",AZ30=$F$2),"ok",IF(AND(AZ6="Samstag",$E$3=AZ30),"ok",IF(AND(AZ6="Sonntag",$E$4=AZ30),"ok",IF(AND(AZ1="Feiertag",$E$5=AZ30),"ok","prüfen")))))</f>
        <v>#NAME?</v>
      </c>
      <c r="BA2" s="124"/>
      <c r="BB2" s="124"/>
      <c r="BC2" s="125"/>
      <c r="BD2" s="123" t="str">
        <f>IF(AND(OR(BD6="Montag",BD6="Dienstag",BD6="Mittwoch",BD6="Donnerstag",BD6="Freitag"),BD4="Schule",$E$2=BD30),"ok",IF(AND(BD4="schulfrei",BD30=$F$2),"ok",IF(AND(BD6="Samstag",$E$3=BD30),"ok",IF(AND(BD6="Sonntag",$E$4=BD30),"ok",IF(AND(BD1="Feiertag",$E$5=BD30),"ok","prüfen")))))</f>
        <v>#NAME?</v>
      </c>
      <c r="BE2" s="124"/>
      <c r="BF2" s="124"/>
      <c r="BG2" s="125"/>
      <c r="BH2" s="123" t="str">
        <f>IF(AND(OR(BH6="Montag",BH6="Dienstag",BH6="Mittwoch",BH6="Donnerstag",BH6="Freitag"),BH4="Schule",$E$2=BH30),"ok",IF(AND(BH4="schulfrei",BH30=$F$2),"ok",IF(AND(BH6="Samstag",$E$3=BH30),"ok",IF(AND(BH6="Sonntag",$E$4=BH30),"ok",IF(AND(BH1="Feiertag",$E$5=BH30),"ok","prüfen")))))</f>
        <v>#NAME?</v>
      </c>
      <c r="BI2" s="124"/>
      <c r="BJ2" s="124"/>
      <c r="BK2" s="125"/>
      <c r="BL2" s="123" t="str">
        <f>IF(AND(OR(BL6="Montag",BL6="Dienstag",BL6="Mittwoch",BL6="Donnerstag",BL6="Freitag"),BL4="Schule",$E$2=BL30),"ok",IF(AND(BL4="schulfrei",BL30=$F$2),"ok",IF(AND(BL6="Samstag",$E$3=BL30),"ok",IF(AND(BL6="Sonntag",$E$4=BL30),"ok",IF(AND(BL1="Feiertag",$E$5=BL30),"ok","prüfen")))))</f>
        <v>#NAME?</v>
      </c>
      <c r="BM2" s="124"/>
      <c r="BN2" s="124"/>
      <c r="BO2" s="125"/>
      <c r="BP2" s="123" t="str">
        <f>IF(AND(OR(BP6="Montag",BP6="Dienstag",BP6="Mittwoch",BP6="Donnerstag",BP6="Freitag"),BP4="Schule",$E$2=BP30),"ok",IF(AND(BP4="schulfrei",BP30=$F$2),"ok",IF(AND(BP6="Samstag",$E$3=BP30),"ok",IF(AND(BP6="Sonntag",$E$4=BP30),"ok",IF(AND(BP1="Feiertag",$E$5=BP30),"ok","prüfen")))))</f>
        <v>#NAME?</v>
      </c>
      <c r="BQ2" s="124"/>
      <c r="BR2" s="124"/>
      <c r="BS2" s="125"/>
      <c r="BT2" s="123" t="str">
        <f>IF(AND(OR(BT6="Montag",BT6="Dienstag",BT6="Mittwoch",BT6="Donnerstag",BT6="Freitag"),BT4="Schule",$E$2=BT30),"ok",IF(AND(BT4="schulfrei",BT30=$F$2),"ok",IF(AND(BT6="Samstag",$E$3=BT30),"ok",IF(AND(BT6="Sonntag",$E$4=BT30),"ok",IF(AND(BT1="Feiertag",$E$5=BT30),"ok","prüfen")))))</f>
        <v>#NAME?</v>
      </c>
      <c r="BU2" s="124"/>
      <c r="BV2" s="124"/>
      <c r="BW2" s="125"/>
      <c r="BX2" s="123" t="str">
        <f>IF(AND(OR(BX6="Montag",BX6="Dienstag",BX6="Mittwoch",BX6="Donnerstag",BX6="Freitag"),BX4="Schule",$E$2=BX30),"ok",IF(AND(BX4="schulfrei",BX30=$F$2),"ok",IF(AND(BX6="Samstag",$E$3=BX30),"ok",IF(AND(BX6="Sonntag",$E$4=BX30),"ok",IF(AND(BX1="Feiertag",$E$5=BX30),"ok","prüfen")))))</f>
        <v>#NAME?</v>
      </c>
      <c r="BY2" s="124"/>
      <c r="BZ2" s="124"/>
      <c r="CA2" s="125"/>
      <c r="CB2" s="123" t="str">
        <f>IF(AND(OR(CB6="Montag",CB6="Dienstag",CB6="Mittwoch",CB6="Donnerstag",CB6="Freitag"),CB4="Schule",$E$2=CB30),"ok",IF(AND(CB4="schulfrei",CB30=$F$2),"ok",IF(AND(CB6="Samstag",$E$3=CB30),"ok",IF(AND(CB6="Sonntag",$E$4=CB30),"ok",IF(AND(CB1="Feiertag",$E$5=CB30),"ok","prüfen")))))</f>
        <v>#NAME?</v>
      </c>
      <c r="CC2" s="124"/>
      <c r="CD2" s="124"/>
      <c r="CE2" s="125"/>
      <c r="CF2" s="123" t="str">
        <f>IF(AND(OR(CF6="Montag",CF6="Dienstag",CF6="Mittwoch",CF6="Donnerstag",CF6="Freitag"),CF4="Schule",$E$2=CF30),"ok",IF(AND(CF4="schulfrei",CF30=$F$2),"ok",IF(AND(CF6="Samstag",$E$3=CF30),"ok",IF(AND(CF6="Sonntag",$E$4=CF30),"ok",IF(AND(CF1="Feiertag",$E$5=CF30),"ok","prüfen")))))</f>
        <v>#NAME?</v>
      </c>
      <c r="CG2" s="124"/>
      <c r="CH2" s="124"/>
      <c r="CI2" s="125"/>
      <c r="CJ2" s="123" t="str">
        <f>IF(AND(OR(CJ6="Montag",CJ6="Dienstag",CJ6="Mittwoch",CJ6="Donnerstag",CJ6="Freitag"),CJ4="Schule",$E$2=CJ30),"ok",IF(AND(CJ4="schulfrei",CJ30=$F$2),"ok",IF(AND(CJ6="Samstag",$E$3=CJ30),"ok",IF(AND(CJ6="Sonntag",$E$4=CJ30),"ok",IF(AND(CJ1="Feiertag",$E$5=CJ30),"ok","prüfen")))))</f>
        <v>#NAME?</v>
      </c>
      <c r="CK2" s="124"/>
      <c r="CL2" s="124"/>
      <c r="CM2" s="125"/>
      <c r="CN2" s="123" t="str">
        <f>IF(AND(OR(CN6="Montag",CN6="Dienstag",CN6="Mittwoch",CN6="Donnerstag",CN6="Freitag"),CN4="Schule",$E$2=CN30),"ok",IF(AND(CN4="schulfrei",CN30=$F$2),"ok",IF(AND(CN6="Samstag",$E$3=CN30),"ok",IF(AND(CN6="Sonntag",$E$4=CN30),"ok",IF(AND(CN1="Feiertag",$E$5=CN30),"ok","prüfen")))))</f>
        <v>#NAME?</v>
      </c>
      <c r="CO2" s="124"/>
      <c r="CP2" s="124"/>
      <c r="CQ2" s="125"/>
      <c r="CR2" s="123" t="str">
        <f>IF(AND(OR(CR6="Montag",CR6="Dienstag",CR6="Mittwoch",CR6="Donnerstag",CR6="Freitag"),CR4="Schule",$E$2=CR30),"ok",IF(AND(CR4="schulfrei",CR30=$F$2),"ok",IF(AND(CR6="Samstag",$E$3=CR30),"ok",IF(AND(CR6="Sonntag",$E$4=CR30),"ok",IF(AND(CR1="Feiertag",$E$5=CR30),"ok","prüfen")))))</f>
        <v>#NAME?</v>
      </c>
      <c r="CS2" s="124"/>
      <c r="CT2" s="124"/>
      <c r="CU2" s="125"/>
      <c r="CV2" s="123" t="str">
        <f>IF(AND(OR(CV6="Montag",CV6="Dienstag",CV6="Mittwoch",CV6="Donnerstag",CV6="Freitag"),CV4="Schule",$E$2=CV30),"ok",IF(AND(CV4="schulfrei",CV30=$F$2),"ok",IF(AND(CV6="Samstag",$E$3=CV30),"ok",IF(AND(CV6="Sonntag",$E$4=CV30),"ok",IF(AND(CV1="Feiertag",$E$5=CV30),"ok","prüfen")))))</f>
        <v>#NAME?</v>
      </c>
      <c r="CW2" s="124"/>
      <c r="CX2" s="124"/>
      <c r="CY2" s="125"/>
      <c r="CZ2" s="123" t="str">
        <f>IF(AND(OR(CZ6="Montag",CZ6="Dienstag",CZ6="Mittwoch",CZ6="Donnerstag",CZ6="Freitag"),CZ4="Schule",$E$2=CZ30),"ok",IF(AND(CZ4="schulfrei",CZ30=$F$2),"ok",IF(AND(CZ6="Samstag",$E$3=CZ30),"ok",IF(AND(CZ6="Sonntag",$E$4=CZ30),"ok",IF(AND(CZ1="Feiertag",$E$5=CZ30),"ok","prüfen")))))</f>
        <v>#NAME?</v>
      </c>
      <c r="DA2" s="124"/>
      <c r="DB2" s="124"/>
      <c r="DC2" s="125"/>
      <c r="DD2" s="123" t="str">
        <f>IF(AND(OR(DD6="Montag",DD6="Dienstag",DD6="Mittwoch",DD6="Donnerstag",DD6="Freitag"),DD4="Schule",$E$2=DD30),"ok",IF(AND(DD4="schulfrei",DD30=$F$2),"ok",IF(AND(DD6="Samstag",$E$3=DD30),"ok",IF(AND(DD6="Sonntag",$E$4=DD30),"ok",IF(AND(DD1="Feiertag",$E$5=DD30),"ok","prüfen")))))</f>
        <v>#NAME?</v>
      </c>
      <c r="DE2" s="124"/>
      <c r="DF2" s="124"/>
      <c r="DG2" s="125"/>
      <c r="DH2" s="123" t="str">
        <f>IF(AND(OR(DH6="Montag",DH6="Dienstag",DH6="Mittwoch",DH6="Donnerstag",DH6="Freitag"),DH4="Schule",$E$2=DH30),"ok",IF(AND(DH4="schulfrei",DH30=$F$2),"ok",IF(AND(DH6="Samstag",$E$3=DH30),"ok",IF(AND(DH6="Sonntag",$E$4=DH30),"ok",IF(AND(DH1="Feiertag",$E$5=DH30),"ok","prüfen")))))</f>
        <v>#NAME?</v>
      </c>
      <c r="DI2" s="124"/>
      <c r="DJ2" s="124"/>
      <c r="DK2" s="125"/>
      <c r="DL2" s="123" t="str">
        <f>IF(AND(OR(DL6="Montag",DL6="Dienstag",DL6="Mittwoch",DL6="Donnerstag",DL6="Freitag"),DL4="Schule",$E$2=DL30),"ok",IF(AND(DL4="schulfrei",DL30=$F$2),"ok",IF(AND(DL6="Samstag",$E$3=DL30),"ok",IF(AND(DL6="Sonntag",$E$4=DL30),"ok",IF(AND(DL1="Feiertag",$E$5=DL30),"ok","prüfen")))))</f>
        <v>#NAME?</v>
      </c>
      <c r="DM2" s="124"/>
      <c r="DN2" s="124"/>
      <c r="DO2" s="125"/>
      <c r="DP2" s="123" t="str">
        <f>IF(AND(OR(DP6="Montag",DP6="Dienstag",DP6="Mittwoch",DP6="Donnerstag",DP6="Freitag"),DP4="Schule",$E$2=DP30),"ok",IF(AND(DP4="schulfrei",DP30=$F$2),"ok",IF(AND(DP6="Samstag",$E$3=DP30),"ok",IF(AND(DP6="Sonntag",$E$4=DP30),"ok",IF(AND(DP1="Feiertag",$E$5=DP30),"ok","prüfen")))))</f>
        <v>#NAME?</v>
      </c>
      <c r="DQ2" s="124"/>
      <c r="DR2" s="124"/>
      <c r="DS2" s="125"/>
      <c r="DT2" s="123" t="str">
        <f>IF(AND(OR(DT6="Montag",DT6="Dienstag",DT6="Mittwoch",DT6="Donnerstag",DT6="Freitag"),DT4="Schule",$E$2=DT30),"ok",IF(AND(DT4="schulfrei",DT30=$F$2),"ok",IF(AND(DT6="Samstag",$E$3=DT30),"ok",IF(AND(DT6="Sonntag",$E$4=DT30),"ok",IF(AND(DT1="Feiertag",$E$5=DT30),"ok","prüfen")))))</f>
        <v>#NAME?</v>
      </c>
      <c r="DU2" s="124"/>
      <c r="DV2" s="124"/>
      <c r="DW2" s="125"/>
      <c r="DX2" s="123" t="str">
        <f>IF(AND(OR(DX6="Montag",DX6="Dienstag",DX6="Mittwoch",DX6="Donnerstag",DX6="Freitag"),DX4="Schule",$E$2=DX30),"ok",IF(AND(DX4="schulfrei",DX30=$F$2),"ok",IF(AND(DX6="Samstag",$E$3=DX30),"ok",IF(AND(DX6="Sonntag",$E$4=DX30),"ok",IF(AND(DX1="Feiertag",$E$5=DX30),"ok","prüfen")))))</f>
        <v>#NAME?</v>
      </c>
      <c r="DY2" s="124"/>
      <c r="DZ2" s="124"/>
      <c r="EA2" s="125"/>
      <c r="EB2" s="134"/>
    </row>
    <row r="3" ht="19.5" customHeight="1">
      <c r="A3" s="135" t="s">
        <v>3</v>
      </c>
      <c r="B3" s="136">
        <v>2025.0</v>
      </c>
      <c r="C3" s="137"/>
      <c r="D3" s="130" t="s">
        <v>4</v>
      </c>
      <c r="E3" s="131">
        <f>SUM(Dienste!C33:C34)</f>
        <v>0.8006944444</v>
      </c>
      <c r="F3" s="132">
        <v>0.0</v>
      </c>
      <c r="G3" s="29" t="s">
        <v>209</v>
      </c>
      <c r="H3" s="138" t="s">
        <v>210</v>
      </c>
      <c r="I3" s="124"/>
      <c r="J3" s="124"/>
      <c r="K3" s="125"/>
      <c r="L3" s="138" t="s">
        <v>210</v>
      </c>
      <c r="M3" s="124"/>
      <c r="N3" s="124"/>
      <c r="O3" s="125"/>
      <c r="P3" s="138" t="s">
        <v>210</v>
      </c>
      <c r="Q3" s="124"/>
      <c r="R3" s="124"/>
      <c r="S3" s="125"/>
      <c r="T3" s="138" t="s">
        <v>210</v>
      </c>
      <c r="U3" s="124"/>
      <c r="V3" s="124"/>
      <c r="W3" s="125"/>
      <c r="X3" s="138" t="s">
        <v>210</v>
      </c>
      <c r="Y3" s="124"/>
      <c r="Z3" s="124"/>
      <c r="AA3" s="125"/>
      <c r="AB3" s="138" t="s">
        <v>210</v>
      </c>
      <c r="AC3" s="124"/>
      <c r="AD3" s="124"/>
      <c r="AE3" s="125"/>
      <c r="AF3" s="138" t="s">
        <v>210</v>
      </c>
      <c r="AG3" s="124"/>
      <c r="AH3" s="124"/>
      <c r="AI3" s="125"/>
      <c r="AJ3" s="138" t="s">
        <v>210</v>
      </c>
      <c r="AK3" s="124"/>
      <c r="AL3" s="124"/>
      <c r="AM3" s="125"/>
      <c r="AN3" s="138" t="s">
        <v>210</v>
      </c>
      <c r="AO3" s="124"/>
      <c r="AP3" s="124"/>
      <c r="AQ3" s="125"/>
      <c r="AR3" s="138" t="s">
        <v>210</v>
      </c>
      <c r="AS3" s="124"/>
      <c r="AT3" s="124"/>
      <c r="AU3" s="125"/>
      <c r="AV3" s="138" t="s">
        <v>210</v>
      </c>
      <c r="AW3" s="124"/>
      <c r="AX3" s="124"/>
      <c r="AY3" s="125"/>
      <c r="AZ3" s="138" t="s">
        <v>210</v>
      </c>
      <c r="BA3" s="124"/>
      <c r="BB3" s="124"/>
      <c r="BC3" s="125"/>
      <c r="BD3" s="138" t="s">
        <v>210</v>
      </c>
      <c r="BE3" s="124"/>
      <c r="BF3" s="124"/>
      <c r="BG3" s="125"/>
      <c r="BH3" s="138" t="s">
        <v>210</v>
      </c>
      <c r="BI3" s="124"/>
      <c r="BJ3" s="124"/>
      <c r="BK3" s="125"/>
      <c r="BL3" s="138" t="s">
        <v>210</v>
      </c>
      <c r="BM3" s="124"/>
      <c r="BN3" s="124"/>
      <c r="BO3" s="125"/>
      <c r="BP3" s="138" t="s">
        <v>210</v>
      </c>
      <c r="BQ3" s="124"/>
      <c r="BR3" s="124"/>
      <c r="BS3" s="125"/>
      <c r="BT3" s="138" t="s">
        <v>210</v>
      </c>
      <c r="BU3" s="124"/>
      <c r="BV3" s="124"/>
      <c r="BW3" s="125"/>
      <c r="BX3" s="138" t="s">
        <v>210</v>
      </c>
      <c r="BY3" s="124"/>
      <c r="BZ3" s="124"/>
      <c r="CA3" s="125"/>
      <c r="CB3" s="138" t="s">
        <v>210</v>
      </c>
      <c r="CC3" s="124"/>
      <c r="CD3" s="124"/>
      <c r="CE3" s="125"/>
      <c r="CF3" s="138" t="s">
        <v>210</v>
      </c>
      <c r="CG3" s="124"/>
      <c r="CH3" s="124"/>
      <c r="CI3" s="125"/>
      <c r="CJ3" s="138" t="s">
        <v>210</v>
      </c>
      <c r="CK3" s="124"/>
      <c r="CL3" s="124"/>
      <c r="CM3" s="125"/>
      <c r="CN3" s="138" t="s">
        <v>210</v>
      </c>
      <c r="CO3" s="124"/>
      <c r="CP3" s="124"/>
      <c r="CQ3" s="125"/>
      <c r="CR3" s="138" t="s">
        <v>210</v>
      </c>
      <c r="CS3" s="124"/>
      <c r="CT3" s="124"/>
      <c r="CU3" s="125"/>
      <c r="CV3" s="138" t="s">
        <v>210</v>
      </c>
      <c r="CW3" s="124"/>
      <c r="CX3" s="124"/>
      <c r="CY3" s="125"/>
      <c r="CZ3" s="138" t="s">
        <v>210</v>
      </c>
      <c r="DA3" s="124"/>
      <c r="DB3" s="124"/>
      <c r="DC3" s="125"/>
      <c r="DD3" s="138" t="s">
        <v>210</v>
      </c>
      <c r="DE3" s="124"/>
      <c r="DF3" s="124"/>
      <c r="DG3" s="125"/>
      <c r="DH3" s="138" t="s">
        <v>210</v>
      </c>
      <c r="DI3" s="124"/>
      <c r="DJ3" s="124"/>
      <c r="DK3" s="125"/>
      <c r="DL3" s="138" t="s">
        <v>210</v>
      </c>
      <c r="DM3" s="124"/>
      <c r="DN3" s="124"/>
      <c r="DO3" s="125"/>
      <c r="DP3" s="138" t="s">
        <v>210</v>
      </c>
      <c r="DQ3" s="124"/>
      <c r="DR3" s="124"/>
      <c r="DS3" s="125"/>
      <c r="DT3" s="138" t="s">
        <v>210</v>
      </c>
      <c r="DU3" s="124"/>
      <c r="DV3" s="124"/>
      <c r="DW3" s="125"/>
      <c r="DX3" s="138" t="s">
        <v>210</v>
      </c>
      <c r="DY3" s="124"/>
      <c r="DZ3" s="124"/>
      <c r="EA3" s="125"/>
      <c r="EB3" s="3"/>
      <c r="EC3" s="126"/>
      <c r="ED3" s="3"/>
      <c r="EE3" s="3"/>
      <c r="EF3" s="3"/>
      <c r="EG3" s="3"/>
    </row>
    <row r="4" ht="19.5" customHeight="1">
      <c r="A4" s="139" t="s">
        <v>5</v>
      </c>
      <c r="B4" s="140">
        <f>SUM(C8:C28)</f>
        <v>21.64652778</v>
      </c>
      <c r="C4" s="137"/>
      <c r="D4" s="130" t="s">
        <v>211</v>
      </c>
      <c r="E4" s="131">
        <v>0.0</v>
      </c>
      <c r="F4" s="132">
        <v>0.0</v>
      </c>
      <c r="G4" s="141" t="s">
        <v>212</v>
      </c>
      <c r="H4" s="123" t="s">
        <v>213</v>
      </c>
      <c r="I4" s="124"/>
      <c r="J4" s="124"/>
      <c r="K4" s="125"/>
      <c r="L4" s="123" t="s">
        <v>213</v>
      </c>
      <c r="M4" s="124"/>
      <c r="N4" s="124"/>
      <c r="O4" s="125"/>
      <c r="P4" s="123" t="s">
        <v>213</v>
      </c>
      <c r="Q4" s="124"/>
      <c r="R4" s="124"/>
      <c r="S4" s="125"/>
      <c r="T4" s="123" t="s">
        <v>213</v>
      </c>
      <c r="U4" s="124"/>
      <c r="V4" s="124"/>
      <c r="W4" s="125"/>
      <c r="X4" s="123" t="s">
        <v>213</v>
      </c>
      <c r="Y4" s="124"/>
      <c r="Z4" s="124"/>
      <c r="AA4" s="125"/>
      <c r="AB4" s="123" t="s">
        <v>213</v>
      </c>
      <c r="AC4" s="124"/>
      <c r="AD4" s="124"/>
      <c r="AE4" s="125"/>
      <c r="AF4" s="123" t="s">
        <v>214</v>
      </c>
      <c r="AG4" s="124"/>
      <c r="AH4" s="124"/>
      <c r="AI4" s="125"/>
      <c r="AJ4" s="123" t="s">
        <v>214</v>
      </c>
      <c r="AK4" s="124"/>
      <c r="AL4" s="124"/>
      <c r="AM4" s="125"/>
      <c r="AN4" s="123" t="s">
        <v>214</v>
      </c>
      <c r="AO4" s="124"/>
      <c r="AP4" s="124"/>
      <c r="AQ4" s="125"/>
      <c r="AR4" s="123" t="s">
        <v>214</v>
      </c>
      <c r="AS4" s="124"/>
      <c r="AT4" s="124"/>
      <c r="AU4" s="125"/>
      <c r="AV4" s="123" t="s">
        <v>214</v>
      </c>
      <c r="AW4" s="124"/>
      <c r="AX4" s="124"/>
      <c r="AY4" s="125"/>
      <c r="AZ4" s="123" t="s">
        <v>213</v>
      </c>
      <c r="BA4" s="124"/>
      <c r="BB4" s="124"/>
      <c r="BC4" s="125"/>
      <c r="BD4" s="123" t="s">
        <v>213</v>
      </c>
      <c r="BE4" s="124"/>
      <c r="BF4" s="124"/>
      <c r="BG4" s="125"/>
      <c r="BH4" s="123" t="s">
        <v>214</v>
      </c>
      <c r="BI4" s="124"/>
      <c r="BJ4" s="124"/>
      <c r="BK4" s="125"/>
      <c r="BL4" s="123" t="s">
        <v>214</v>
      </c>
      <c r="BM4" s="124"/>
      <c r="BN4" s="124"/>
      <c r="BO4" s="125"/>
      <c r="BP4" s="123" t="s">
        <v>214</v>
      </c>
      <c r="BQ4" s="124"/>
      <c r="BR4" s="124"/>
      <c r="BS4" s="125"/>
      <c r="BT4" s="123" t="s">
        <v>214</v>
      </c>
      <c r="BU4" s="124"/>
      <c r="BV4" s="124"/>
      <c r="BW4" s="125"/>
      <c r="BX4" s="123" t="s">
        <v>214</v>
      </c>
      <c r="BY4" s="124"/>
      <c r="BZ4" s="124"/>
      <c r="CA4" s="125"/>
      <c r="CB4" s="123" t="s">
        <v>213</v>
      </c>
      <c r="CC4" s="124"/>
      <c r="CD4" s="124"/>
      <c r="CE4" s="125"/>
      <c r="CF4" s="123" t="s">
        <v>213</v>
      </c>
      <c r="CG4" s="124"/>
      <c r="CH4" s="124"/>
      <c r="CI4" s="125"/>
      <c r="CJ4" s="123" t="s">
        <v>214</v>
      </c>
      <c r="CK4" s="124"/>
      <c r="CL4" s="124"/>
      <c r="CM4" s="125"/>
      <c r="CN4" s="123" t="s">
        <v>214</v>
      </c>
      <c r="CO4" s="124"/>
      <c r="CP4" s="124"/>
      <c r="CQ4" s="125"/>
      <c r="CR4" s="123" t="s">
        <v>214</v>
      </c>
      <c r="CS4" s="124"/>
      <c r="CT4" s="124"/>
      <c r="CU4" s="125"/>
      <c r="CV4" s="123" t="s">
        <v>214</v>
      </c>
      <c r="CW4" s="124"/>
      <c r="CX4" s="124"/>
      <c r="CY4" s="125"/>
      <c r="CZ4" s="123" t="s">
        <v>214</v>
      </c>
      <c r="DA4" s="124"/>
      <c r="DB4" s="124"/>
      <c r="DC4" s="125"/>
      <c r="DD4" s="123" t="s">
        <v>213</v>
      </c>
      <c r="DE4" s="124"/>
      <c r="DF4" s="124"/>
      <c r="DG4" s="125"/>
      <c r="DH4" s="123" t="s">
        <v>213</v>
      </c>
      <c r="DI4" s="124"/>
      <c r="DJ4" s="124"/>
      <c r="DK4" s="125"/>
      <c r="DL4" s="123" t="s">
        <v>214</v>
      </c>
      <c r="DM4" s="124"/>
      <c r="DN4" s="124"/>
      <c r="DO4" s="125"/>
      <c r="DP4" s="123" t="s">
        <v>214</v>
      </c>
      <c r="DQ4" s="124"/>
      <c r="DR4" s="124"/>
      <c r="DS4" s="125"/>
      <c r="DT4" s="123" t="s">
        <v>214</v>
      </c>
      <c r="DU4" s="124"/>
      <c r="DV4" s="124"/>
      <c r="DW4" s="125"/>
      <c r="DX4" s="123" t="s">
        <v>214</v>
      </c>
      <c r="DY4" s="124"/>
      <c r="DZ4" s="124"/>
      <c r="EA4" s="125"/>
      <c r="EB4" s="3"/>
      <c r="EC4" s="126"/>
      <c r="ED4" s="3"/>
      <c r="EE4" s="3"/>
      <c r="EF4" s="3"/>
      <c r="EG4" s="3"/>
    </row>
    <row r="5" ht="16.5" customHeight="1">
      <c r="A5" s="142" t="s">
        <v>215</v>
      </c>
      <c r="B5" s="143">
        <v>45839.0</v>
      </c>
      <c r="C5" s="144"/>
      <c r="D5" s="130" t="s">
        <v>149</v>
      </c>
      <c r="E5" s="131">
        <f>Lenker!D23</f>
        <v>5.13784642</v>
      </c>
      <c r="F5" s="132">
        <f>Lenker!D23</f>
        <v>5.13784642</v>
      </c>
      <c r="G5" s="145" t="s">
        <v>189</v>
      </c>
      <c r="H5" s="146">
        <f>B5</f>
        <v>45839</v>
      </c>
      <c r="I5" s="124"/>
      <c r="J5" s="124"/>
      <c r="K5" s="125"/>
      <c r="L5" s="146">
        <f>H5+1</f>
        <v>45840</v>
      </c>
      <c r="M5" s="124"/>
      <c r="N5" s="124"/>
      <c r="O5" s="125"/>
      <c r="P5" s="146">
        <f>L5+1</f>
        <v>45841</v>
      </c>
      <c r="Q5" s="124"/>
      <c r="R5" s="124"/>
      <c r="S5" s="125"/>
      <c r="T5" s="146">
        <f>P5+1</f>
        <v>45842</v>
      </c>
      <c r="U5" s="124"/>
      <c r="V5" s="124"/>
      <c r="W5" s="125"/>
      <c r="X5" s="146">
        <f>T5+1</f>
        <v>45843</v>
      </c>
      <c r="Y5" s="124"/>
      <c r="Z5" s="124"/>
      <c r="AA5" s="125"/>
      <c r="AB5" s="146">
        <f>X5+1</f>
        <v>45844</v>
      </c>
      <c r="AC5" s="124"/>
      <c r="AD5" s="124"/>
      <c r="AE5" s="125"/>
      <c r="AF5" s="146">
        <f>AB5+1</f>
        <v>45845</v>
      </c>
      <c r="AG5" s="124"/>
      <c r="AH5" s="124"/>
      <c r="AI5" s="125"/>
      <c r="AJ5" s="146">
        <f>AF5+1</f>
        <v>45846</v>
      </c>
      <c r="AK5" s="124"/>
      <c r="AL5" s="124"/>
      <c r="AM5" s="125"/>
      <c r="AN5" s="146">
        <f>AJ5+1</f>
        <v>45847</v>
      </c>
      <c r="AO5" s="124"/>
      <c r="AP5" s="124"/>
      <c r="AQ5" s="125"/>
      <c r="AR5" s="146">
        <f>AN5+1</f>
        <v>45848</v>
      </c>
      <c r="AS5" s="124"/>
      <c r="AT5" s="124"/>
      <c r="AU5" s="125"/>
      <c r="AV5" s="146">
        <f>AR5+1</f>
        <v>45849</v>
      </c>
      <c r="AW5" s="124"/>
      <c r="AX5" s="124"/>
      <c r="AY5" s="125"/>
      <c r="AZ5" s="146">
        <f>AV5+1</f>
        <v>45850</v>
      </c>
      <c r="BA5" s="124"/>
      <c r="BB5" s="124"/>
      <c r="BC5" s="125"/>
      <c r="BD5" s="146">
        <f>AZ5+1</f>
        <v>45851</v>
      </c>
      <c r="BE5" s="124"/>
      <c r="BF5" s="124"/>
      <c r="BG5" s="125"/>
      <c r="BH5" s="146">
        <f>BD5+1</f>
        <v>45852</v>
      </c>
      <c r="BI5" s="124"/>
      <c r="BJ5" s="124"/>
      <c r="BK5" s="125"/>
      <c r="BL5" s="146">
        <f>BH5+1</f>
        <v>45853</v>
      </c>
      <c r="BM5" s="124"/>
      <c r="BN5" s="124"/>
      <c r="BO5" s="125"/>
      <c r="BP5" s="146">
        <f>BL5+1</f>
        <v>45854</v>
      </c>
      <c r="BQ5" s="124"/>
      <c r="BR5" s="124"/>
      <c r="BS5" s="125"/>
      <c r="BT5" s="146">
        <f>BP5+1</f>
        <v>45855</v>
      </c>
      <c r="BU5" s="124"/>
      <c r="BV5" s="124"/>
      <c r="BW5" s="125"/>
      <c r="BX5" s="146">
        <f>BT5+1</f>
        <v>45856</v>
      </c>
      <c r="BY5" s="124"/>
      <c r="BZ5" s="124"/>
      <c r="CA5" s="125"/>
      <c r="CB5" s="146">
        <f>BX5+1</f>
        <v>45857</v>
      </c>
      <c r="CC5" s="124"/>
      <c r="CD5" s="124"/>
      <c r="CE5" s="125"/>
      <c r="CF5" s="146">
        <f>CB5+1</f>
        <v>45858</v>
      </c>
      <c r="CG5" s="124"/>
      <c r="CH5" s="124"/>
      <c r="CI5" s="125"/>
      <c r="CJ5" s="146">
        <f>CF5+1</f>
        <v>45859</v>
      </c>
      <c r="CK5" s="124"/>
      <c r="CL5" s="124"/>
      <c r="CM5" s="125"/>
      <c r="CN5" s="146">
        <f>CJ5+1</f>
        <v>45860</v>
      </c>
      <c r="CO5" s="124"/>
      <c r="CP5" s="124"/>
      <c r="CQ5" s="125"/>
      <c r="CR5" s="146">
        <f>CN5+1</f>
        <v>45861</v>
      </c>
      <c r="CS5" s="124"/>
      <c r="CT5" s="124"/>
      <c r="CU5" s="125"/>
      <c r="CV5" s="146">
        <f>CR5+1</f>
        <v>45862</v>
      </c>
      <c r="CW5" s="124"/>
      <c r="CX5" s="124"/>
      <c r="CY5" s="125"/>
      <c r="CZ5" s="146">
        <f>CV5+1</f>
        <v>45863</v>
      </c>
      <c r="DA5" s="124"/>
      <c r="DB5" s="124"/>
      <c r="DC5" s="125"/>
      <c r="DD5" s="146">
        <f>CZ5+1</f>
        <v>45864</v>
      </c>
      <c r="DE5" s="124"/>
      <c r="DF5" s="124"/>
      <c r="DG5" s="125"/>
      <c r="DH5" s="146">
        <f>DD5+1</f>
        <v>45865</v>
      </c>
      <c r="DI5" s="124"/>
      <c r="DJ5" s="124"/>
      <c r="DK5" s="125"/>
      <c r="DL5" s="146">
        <f>DH5+1</f>
        <v>45866</v>
      </c>
      <c r="DM5" s="124"/>
      <c r="DN5" s="124"/>
      <c r="DO5" s="125"/>
      <c r="DP5" s="146">
        <f>DL5+1</f>
        <v>45867</v>
      </c>
      <c r="DQ5" s="124"/>
      <c r="DR5" s="124"/>
      <c r="DS5" s="125"/>
      <c r="DT5" s="146">
        <f>DP5+1</f>
        <v>45868</v>
      </c>
      <c r="DU5" s="124"/>
      <c r="DV5" s="124"/>
      <c r="DW5" s="125"/>
      <c r="DX5" s="146">
        <f>DT5+1</f>
        <v>45869</v>
      </c>
      <c r="DY5" s="124"/>
      <c r="DZ5" s="124"/>
      <c r="EA5" s="125"/>
      <c r="EB5" s="4"/>
      <c r="EC5" s="147"/>
      <c r="ED5" s="4"/>
      <c r="EE5" s="3"/>
      <c r="EF5" s="3"/>
      <c r="EG5" s="3"/>
    </row>
    <row r="6" ht="16.5" customHeight="1">
      <c r="A6" s="142" t="s">
        <v>216</v>
      </c>
      <c r="B6" s="148" t="s">
        <v>217</v>
      </c>
      <c r="C6" s="149" t="s">
        <v>218</v>
      </c>
      <c r="D6" s="124"/>
      <c r="E6" s="124"/>
      <c r="F6" s="150"/>
      <c r="G6" s="151" t="s">
        <v>219</v>
      </c>
      <c r="H6" s="152" t="str">
        <f>TEXT(H5,"TTTT")</f>
        <v>TTTT</v>
      </c>
      <c r="I6" s="124"/>
      <c r="J6" s="124"/>
      <c r="K6" s="125"/>
      <c r="L6" s="152" t="str">
        <f>TEXT(L5,"TTTT")</f>
        <v>TTTT</v>
      </c>
      <c r="M6" s="124"/>
      <c r="N6" s="124"/>
      <c r="O6" s="125"/>
      <c r="P6" s="152" t="str">
        <f>TEXT(P5,"TTTT")</f>
        <v>TTTT</v>
      </c>
      <c r="Q6" s="124"/>
      <c r="R6" s="124"/>
      <c r="S6" s="125"/>
      <c r="T6" s="152" t="str">
        <f>TEXT(T5,"TTTT")</f>
        <v>TTTT</v>
      </c>
      <c r="U6" s="124"/>
      <c r="V6" s="124"/>
      <c r="W6" s="125"/>
      <c r="X6" s="152" t="str">
        <f>TEXT(X5,"TTTT")</f>
        <v>TTTT</v>
      </c>
      <c r="Y6" s="124"/>
      <c r="Z6" s="124"/>
      <c r="AA6" s="125"/>
      <c r="AB6" s="152" t="str">
        <f>TEXT(AB5,"TTTT")</f>
        <v>TTTT</v>
      </c>
      <c r="AC6" s="124"/>
      <c r="AD6" s="124"/>
      <c r="AE6" s="125"/>
      <c r="AF6" s="152" t="str">
        <f>TEXT(AF5,"TTTT")</f>
        <v>TTTT</v>
      </c>
      <c r="AG6" s="124"/>
      <c r="AH6" s="124"/>
      <c r="AI6" s="125"/>
      <c r="AJ6" s="152" t="str">
        <f>TEXT(AJ5,"TTTT")</f>
        <v>TTTT</v>
      </c>
      <c r="AK6" s="124"/>
      <c r="AL6" s="124"/>
      <c r="AM6" s="125"/>
      <c r="AN6" s="152" t="str">
        <f>TEXT(AN5,"TTTT")</f>
        <v>TTTT</v>
      </c>
      <c r="AO6" s="124"/>
      <c r="AP6" s="124"/>
      <c r="AQ6" s="125"/>
      <c r="AR6" s="152" t="str">
        <f>TEXT(AR5,"TTTT")</f>
        <v>TTTT</v>
      </c>
      <c r="AS6" s="124"/>
      <c r="AT6" s="124"/>
      <c r="AU6" s="125"/>
      <c r="AV6" s="152" t="str">
        <f>TEXT(AV5,"TTTT")</f>
        <v>TTTT</v>
      </c>
      <c r="AW6" s="124"/>
      <c r="AX6" s="124"/>
      <c r="AY6" s="125"/>
      <c r="AZ6" s="152" t="str">
        <f>TEXT(AZ5,"TTTT")</f>
        <v>TTTT</v>
      </c>
      <c r="BA6" s="124"/>
      <c r="BB6" s="124"/>
      <c r="BC6" s="125"/>
      <c r="BD6" s="152" t="str">
        <f>TEXT(BD5,"TTTT")</f>
        <v>TTTT</v>
      </c>
      <c r="BE6" s="124"/>
      <c r="BF6" s="124"/>
      <c r="BG6" s="125"/>
      <c r="BH6" s="152" t="str">
        <f>TEXT(BH5,"TTTT")</f>
        <v>TTTT</v>
      </c>
      <c r="BI6" s="124"/>
      <c r="BJ6" s="124"/>
      <c r="BK6" s="125"/>
      <c r="BL6" s="152" t="str">
        <f>TEXT(BL5,"TTTT")</f>
        <v>TTTT</v>
      </c>
      <c r="BM6" s="124"/>
      <c r="BN6" s="124"/>
      <c r="BO6" s="125"/>
      <c r="BP6" s="152" t="str">
        <f>TEXT(BP5,"TTTT")</f>
        <v>TTTT</v>
      </c>
      <c r="BQ6" s="124"/>
      <c r="BR6" s="124"/>
      <c r="BS6" s="125"/>
      <c r="BT6" s="152" t="str">
        <f>TEXT(BT5,"TTTT")</f>
        <v>TTTT</v>
      </c>
      <c r="BU6" s="124"/>
      <c r="BV6" s="124"/>
      <c r="BW6" s="125"/>
      <c r="BX6" s="152" t="str">
        <f>TEXT(BX5,"TTTT")</f>
        <v>TTTT</v>
      </c>
      <c r="BY6" s="124"/>
      <c r="BZ6" s="124"/>
      <c r="CA6" s="125"/>
      <c r="CB6" s="152" t="str">
        <f>TEXT(CB5,"TTTT")</f>
        <v>TTTT</v>
      </c>
      <c r="CC6" s="124"/>
      <c r="CD6" s="124"/>
      <c r="CE6" s="125"/>
      <c r="CF6" s="152" t="str">
        <f>TEXT(CF5,"TTTT")</f>
        <v>TTTT</v>
      </c>
      <c r="CG6" s="124"/>
      <c r="CH6" s="124"/>
      <c r="CI6" s="125"/>
      <c r="CJ6" s="152" t="str">
        <f>TEXT(CJ5,"TTTT")</f>
        <v>TTTT</v>
      </c>
      <c r="CK6" s="124"/>
      <c r="CL6" s="124"/>
      <c r="CM6" s="125"/>
      <c r="CN6" s="152" t="str">
        <f>TEXT(CN5,"TTTT")</f>
        <v>TTTT</v>
      </c>
      <c r="CO6" s="124"/>
      <c r="CP6" s="124"/>
      <c r="CQ6" s="125"/>
      <c r="CR6" s="152" t="str">
        <f>TEXT(CR5,"TTTT")</f>
        <v>TTTT</v>
      </c>
      <c r="CS6" s="124"/>
      <c r="CT6" s="124"/>
      <c r="CU6" s="125"/>
      <c r="CV6" s="152" t="str">
        <f>TEXT(CV5,"TTTT")</f>
        <v>TTTT</v>
      </c>
      <c r="CW6" s="124"/>
      <c r="CX6" s="124"/>
      <c r="CY6" s="125"/>
      <c r="CZ6" s="152" t="str">
        <f>TEXT(CZ5,"TTTT")</f>
        <v>TTTT</v>
      </c>
      <c r="DA6" s="124"/>
      <c r="DB6" s="124"/>
      <c r="DC6" s="125"/>
      <c r="DD6" s="152" t="str">
        <f>TEXT(DD5,"TTTT")</f>
        <v>TTTT</v>
      </c>
      <c r="DE6" s="124"/>
      <c r="DF6" s="124"/>
      <c r="DG6" s="125"/>
      <c r="DH6" s="152" t="str">
        <f>TEXT(DH5,"TTTT")</f>
        <v>TTTT</v>
      </c>
      <c r="DI6" s="124"/>
      <c r="DJ6" s="124"/>
      <c r="DK6" s="125"/>
      <c r="DL6" s="152" t="str">
        <f>TEXT(DL5,"TTTT")</f>
        <v>TTTT</v>
      </c>
      <c r="DM6" s="124"/>
      <c r="DN6" s="124"/>
      <c r="DO6" s="125"/>
      <c r="DP6" s="152" t="str">
        <f>TEXT(DP5,"TTTT")</f>
        <v>TTTT</v>
      </c>
      <c r="DQ6" s="124"/>
      <c r="DR6" s="124"/>
      <c r="DS6" s="125"/>
      <c r="DT6" s="152" t="str">
        <f>TEXT(DT5,"TTTT")</f>
        <v>TTTT</v>
      </c>
      <c r="DU6" s="124"/>
      <c r="DV6" s="124"/>
      <c r="DW6" s="125"/>
      <c r="DX6" s="152" t="str">
        <f>TEXT(DX5,"TTTT")</f>
        <v>TTTT</v>
      </c>
      <c r="DY6" s="124"/>
      <c r="DZ6" s="124"/>
      <c r="EA6" s="125"/>
      <c r="EB6" s="3"/>
      <c r="EC6" s="126"/>
      <c r="ED6" s="3"/>
      <c r="EE6" s="3"/>
      <c r="EF6" s="3"/>
      <c r="EG6" s="3"/>
    </row>
    <row r="7" ht="16.5" customHeight="1">
      <c r="A7" s="153" t="s">
        <v>10</v>
      </c>
      <c r="B7" s="154" t="s">
        <v>220</v>
      </c>
      <c r="C7" s="155" t="s">
        <v>12</v>
      </c>
      <c r="D7" s="155" t="s">
        <v>221</v>
      </c>
      <c r="E7" s="155" t="s">
        <v>222</v>
      </c>
      <c r="F7" s="155" t="s">
        <v>223</v>
      </c>
      <c r="G7" s="156" t="s">
        <v>224</v>
      </c>
      <c r="H7" s="157" t="s">
        <v>225</v>
      </c>
      <c r="I7" s="158" t="s">
        <v>226</v>
      </c>
      <c r="J7" s="159" t="s">
        <v>56</v>
      </c>
      <c r="K7" s="160" t="s">
        <v>227</v>
      </c>
      <c r="L7" s="157" t="s">
        <v>225</v>
      </c>
      <c r="M7" s="158" t="s">
        <v>226</v>
      </c>
      <c r="N7" s="159" t="s">
        <v>56</v>
      </c>
      <c r="O7" s="160" t="s">
        <v>227</v>
      </c>
      <c r="P7" s="157" t="s">
        <v>225</v>
      </c>
      <c r="Q7" s="158" t="s">
        <v>226</v>
      </c>
      <c r="R7" s="159" t="s">
        <v>56</v>
      </c>
      <c r="S7" s="160" t="s">
        <v>227</v>
      </c>
      <c r="T7" s="157" t="s">
        <v>225</v>
      </c>
      <c r="U7" s="158" t="s">
        <v>226</v>
      </c>
      <c r="V7" s="159" t="s">
        <v>56</v>
      </c>
      <c r="W7" s="160" t="s">
        <v>227</v>
      </c>
      <c r="X7" s="157" t="s">
        <v>225</v>
      </c>
      <c r="Y7" s="158" t="s">
        <v>226</v>
      </c>
      <c r="Z7" s="159" t="s">
        <v>56</v>
      </c>
      <c r="AA7" s="160" t="s">
        <v>227</v>
      </c>
      <c r="AB7" s="157" t="s">
        <v>225</v>
      </c>
      <c r="AC7" s="158" t="s">
        <v>226</v>
      </c>
      <c r="AD7" s="159" t="s">
        <v>56</v>
      </c>
      <c r="AE7" s="160" t="s">
        <v>227</v>
      </c>
      <c r="AF7" s="157" t="s">
        <v>225</v>
      </c>
      <c r="AG7" s="158" t="s">
        <v>226</v>
      </c>
      <c r="AH7" s="159" t="s">
        <v>56</v>
      </c>
      <c r="AI7" s="160" t="s">
        <v>227</v>
      </c>
      <c r="AJ7" s="157" t="s">
        <v>225</v>
      </c>
      <c r="AK7" s="158" t="s">
        <v>226</v>
      </c>
      <c r="AL7" s="159" t="s">
        <v>56</v>
      </c>
      <c r="AM7" s="160" t="s">
        <v>227</v>
      </c>
      <c r="AN7" s="157" t="s">
        <v>225</v>
      </c>
      <c r="AO7" s="158" t="s">
        <v>226</v>
      </c>
      <c r="AP7" s="159" t="s">
        <v>56</v>
      </c>
      <c r="AQ7" s="160" t="s">
        <v>227</v>
      </c>
      <c r="AR7" s="157" t="s">
        <v>225</v>
      </c>
      <c r="AS7" s="158" t="s">
        <v>226</v>
      </c>
      <c r="AT7" s="159" t="s">
        <v>56</v>
      </c>
      <c r="AU7" s="160" t="s">
        <v>227</v>
      </c>
      <c r="AV7" s="157" t="s">
        <v>225</v>
      </c>
      <c r="AW7" s="158" t="s">
        <v>226</v>
      </c>
      <c r="AX7" s="159" t="s">
        <v>56</v>
      </c>
      <c r="AY7" s="160" t="s">
        <v>227</v>
      </c>
      <c r="AZ7" s="157" t="s">
        <v>225</v>
      </c>
      <c r="BA7" s="158" t="s">
        <v>226</v>
      </c>
      <c r="BB7" s="159" t="s">
        <v>56</v>
      </c>
      <c r="BC7" s="160" t="s">
        <v>227</v>
      </c>
      <c r="BD7" s="157" t="s">
        <v>225</v>
      </c>
      <c r="BE7" s="158" t="s">
        <v>226</v>
      </c>
      <c r="BF7" s="159" t="s">
        <v>56</v>
      </c>
      <c r="BG7" s="160" t="s">
        <v>227</v>
      </c>
      <c r="BH7" s="157" t="s">
        <v>225</v>
      </c>
      <c r="BI7" s="158" t="s">
        <v>226</v>
      </c>
      <c r="BJ7" s="159" t="s">
        <v>56</v>
      </c>
      <c r="BK7" s="160" t="s">
        <v>227</v>
      </c>
      <c r="BL7" s="157" t="s">
        <v>225</v>
      </c>
      <c r="BM7" s="158" t="s">
        <v>226</v>
      </c>
      <c r="BN7" s="159" t="s">
        <v>56</v>
      </c>
      <c r="BO7" s="160" t="s">
        <v>227</v>
      </c>
      <c r="BP7" s="157" t="s">
        <v>225</v>
      </c>
      <c r="BQ7" s="158" t="s">
        <v>226</v>
      </c>
      <c r="BR7" s="159" t="s">
        <v>56</v>
      </c>
      <c r="BS7" s="160" t="s">
        <v>227</v>
      </c>
      <c r="BT7" s="157" t="s">
        <v>225</v>
      </c>
      <c r="BU7" s="158" t="s">
        <v>226</v>
      </c>
      <c r="BV7" s="159" t="s">
        <v>56</v>
      </c>
      <c r="BW7" s="160" t="s">
        <v>227</v>
      </c>
      <c r="BX7" s="157" t="s">
        <v>225</v>
      </c>
      <c r="BY7" s="158" t="s">
        <v>226</v>
      </c>
      <c r="BZ7" s="159" t="s">
        <v>56</v>
      </c>
      <c r="CA7" s="160" t="s">
        <v>227</v>
      </c>
      <c r="CB7" s="157" t="s">
        <v>225</v>
      </c>
      <c r="CC7" s="158" t="s">
        <v>226</v>
      </c>
      <c r="CD7" s="159" t="s">
        <v>56</v>
      </c>
      <c r="CE7" s="160" t="s">
        <v>227</v>
      </c>
      <c r="CF7" s="157" t="s">
        <v>225</v>
      </c>
      <c r="CG7" s="158" t="s">
        <v>226</v>
      </c>
      <c r="CH7" s="159" t="s">
        <v>56</v>
      </c>
      <c r="CI7" s="160" t="s">
        <v>227</v>
      </c>
      <c r="CJ7" s="157" t="s">
        <v>225</v>
      </c>
      <c r="CK7" s="158" t="s">
        <v>226</v>
      </c>
      <c r="CL7" s="159" t="s">
        <v>56</v>
      </c>
      <c r="CM7" s="160" t="s">
        <v>227</v>
      </c>
      <c r="CN7" s="157" t="s">
        <v>225</v>
      </c>
      <c r="CO7" s="158" t="s">
        <v>226</v>
      </c>
      <c r="CP7" s="159" t="s">
        <v>56</v>
      </c>
      <c r="CQ7" s="160" t="s">
        <v>227</v>
      </c>
      <c r="CR7" s="157" t="s">
        <v>225</v>
      </c>
      <c r="CS7" s="158" t="s">
        <v>226</v>
      </c>
      <c r="CT7" s="159" t="s">
        <v>56</v>
      </c>
      <c r="CU7" s="160" t="s">
        <v>227</v>
      </c>
      <c r="CV7" s="157" t="s">
        <v>225</v>
      </c>
      <c r="CW7" s="158" t="s">
        <v>226</v>
      </c>
      <c r="CX7" s="159" t="s">
        <v>56</v>
      </c>
      <c r="CY7" s="160" t="s">
        <v>227</v>
      </c>
      <c r="CZ7" s="157" t="s">
        <v>225</v>
      </c>
      <c r="DA7" s="158" t="s">
        <v>226</v>
      </c>
      <c r="DB7" s="159" t="s">
        <v>56</v>
      </c>
      <c r="DC7" s="160" t="s">
        <v>227</v>
      </c>
      <c r="DD7" s="157" t="s">
        <v>225</v>
      </c>
      <c r="DE7" s="158" t="s">
        <v>226</v>
      </c>
      <c r="DF7" s="159" t="s">
        <v>56</v>
      </c>
      <c r="DG7" s="160" t="s">
        <v>227</v>
      </c>
      <c r="DH7" s="157" t="s">
        <v>225</v>
      </c>
      <c r="DI7" s="158" t="s">
        <v>226</v>
      </c>
      <c r="DJ7" s="159" t="s">
        <v>56</v>
      </c>
      <c r="DK7" s="160" t="s">
        <v>227</v>
      </c>
      <c r="DL7" s="157" t="s">
        <v>225</v>
      </c>
      <c r="DM7" s="158" t="s">
        <v>226</v>
      </c>
      <c r="DN7" s="159" t="s">
        <v>56</v>
      </c>
      <c r="DO7" s="160" t="s">
        <v>227</v>
      </c>
      <c r="DP7" s="157" t="s">
        <v>225</v>
      </c>
      <c r="DQ7" s="158" t="s">
        <v>226</v>
      </c>
      <c r="DR7" s="159" t="s">
        <v>56</v>
      </c>
      <c r="DS7" s="160" t="s">
        <v>227</v>
      </c>
      <c r="DT7" s="157" t="s">
        <v>225</v>
      </c>
      <c r="DU7" s="158" t="s">
        <v>226</v>
      </c>
      <c r="DV7" s="159" t="s">
        <v>56</v>
      </c>
      <c r="DW7" s="160" t="s">
        <v>227</v>
      </c>
      <c r="DX7" s="157" t="s">
        <v>225</v>
      </c>
      <c r="DY7" s="158" t="s">
        <v>226</v>
      </c>
      <c r="DZ7" s="159" t="s">
        <v>56</v>
      </c>
      <c r="EA7" s="161" t="s">
        <v>227</v>
      </c>
      <c r="EB7" s="29"/>
      <c r="EC7" s="162"/>
      <c r="ED7" s="29"/>
      <c r="EE7" s="29"/>
      <c r="EF7" s="29"/>
      <c r="EG7" s="29"/>
    </row>
    <row r="8" ht="16.5" customHeight="1">
      <c r="A8" s="163" t="str">
        <f>IF(ISERROR(Lenker!A2),"N.N.",Lenker!A2)</f>
        <v>Blaskovic, Nenad</v>
      </c>
      <c r="B8" s="164" t="str">
        <f t="shared" ref="B8:B28" si="1">(SUM(J8,N8,R8,V8,Z8,AD8,AH8,AL8,AP8,AT8,AX8,BB8,BF8,BJ8,BN8,BR8,BV8,BZ8,CD8,CH8,CL8,CP8,CT8,CX8,DB8,DF8,DJ8,DN8,DR8,DV8,DZ8)-(IF(H8="SOF",J8,0)+IF(L8="SOF",N8,0)+IF(P8="SOF",R8,0)+IF(T8="SOF",V8,0)+IF(X8="SOF",Z8,0)+IF(AB8="SOF",AD8,0)+IF(AF8="SOF",AH8,0)+IF(AJ8="SOF",AL8,0)+IF(AN8="SOF",AP8,0)+IF(AR8="SOF",AT8,0)+IF(AV8="SOF",AX8,0)+IF(AZ8="SOF",BB8,0)+IF(BD8="SOF",BF8,0)+IF(BH8="SOF",BJ8,0)+IF(BL8="SOF",BN8,0)+IF(BP8="SOF",BR8,0)+IF(BT8="SOF",BV8,0)+IF(BX8="SOF",BZ8,0)+IF(CB8="SOF",CD8,0)+IF(CF8="SOF",CH8,0)+IF(CJ8="SOF",CL8,0)+IF(CN8="SOF",CP8,0)+IF(CR8="SOF",CT8,0)+IF(CV8="SOF",CX8,0)+IF(CZ8="SOF",DB8,0)+IF(DD8="SOF",DF8,0)+IF(DH8="SOF",DJ8,0)+IF(DL8="SOF",DN8,0)+IF(DP8="SOF",DR8,0)+IF(DT8="SOF",DV8,0)+IF(DX8="SOF",DZ8,0)))+G8&amp;" / "&amp;(IF(H8="SOF",J8,0)+IF(L8="SOF",N8,0)+IF(P8="SOF",R8,0)+IF(T8="SOF",V8,0)+IF(X8="SOF",Z8,0)+IF(AB8="SOF",AD8,0)+IF(AF8="SOF",AH8,0)+IF(AJ8="SOF",AL8,0)+IF(AN8="SOF",AP8,0)+IF(AR8="SOF",AT8,0)+IF(AV8="SOF",AX8,0)+IF(AZ8="SOF",BB8,0)+IF(BD8="SOF",BF8,0)+IF(BH8="SOF",BJ8,0)+IF(BL8="SOF",BN8,0)+IF(BP8="SOF",BR8,0)+IF(BT8="SOF",BV8,0)+IF(BX8="SOF",BZ8,0)+IF(CB8="SOF",CD8,0)+IF(CF8="SOF",CH8,0)+IF(CJ8="SOF",CL8,0)+IF(CN8="SOF",CP8,0)+IF(CR8="SOF",CT8,0)+IF(CV8="SOF",CX8,0)+IF(CZ8="SOF",DB8,0)+IF(DD8="SOF",DF8,0)+IF(DH8="SOF",DJ8,0)+IF(DL8="SOF",DN8,0)+IF(DP8="SOF",DR8,0)+IF(DT8="SOF",DV8,0)+IF(DX8="SOF",DZ8,0))&amp;" / "&amp;SUM(K8,O8,S8,W8,AA8,AE8,AI8,AM8,AQ8,AU8,AY8,BC8,BG8,BK8,BO8,BS8,BW8,CA8,CE8,CI8,CM8,CQ8,CU8,CY8,DC8,DG8,DK8,DO8,DS8,DW8,EA8)</f>
        <v>20 / 0 / 0</v>
      </c>
      <c r="C8" s="165">
        <f t="shared" ref="C8:C14" si="2">(SUM(I8,M8,Q8,U8,Y8,AC8,AG8,AK8,AO8,AS8,AW8,BA8,BE8,BI8,BM8,BQ8,BU8,BY8,CC8,CG8,CK8,CO8,CS8,CW8,DA8,DE8,DI8,DM8,DQ8,DU8,DY8))+F8</f>
        <v>0.4166666667</v>
      </c>
      <c r="D8" s="166">
        <v>0.0</v>
      </c>
      <c r="E8" s="165" t="s">
        <v>228</v>
      </c>
      <c r="F8" s="167"/>
      <c r="G8" s="168"/>
      <c r="H8" s="169"/>
      <c r="I8" s="170"/>
      <c r="J8" s="171"/>
      <c r="K8" s="172"/>
      <c r="L8" s="169"/>
      <c r="M8" s="170"/>
      <c r="N8" s="171"/>
      <c r="O8" s="172"/>
      <c r="P8" s="169"/>
      <c r="Q8" s="170"/>
      <c r="R8" s="171"/>
      <c r="S8" s="172"/>
      <c r="T8" s="173"/>
      <c r="U8" s="170"/>
      <c r="V8" s="171"/>
      <c r="W8" s="172"/>
      <c r="X8" s="169"/>
      <c r="Y8" s="170"/>
      <c r="Z8" s="171"/>
      <c r="AA8" s="172"/>
      <c r="AB8" s="169"/>
      <c r="AC8" s="170"/>
      <c r="AD8" s="171"/>
      <c r="AE8" s="172"/>
      <c r="AF8" s="169" t="s">
        <v>119</v>
      </c>
      <c r="AG8" s="174" t="s">
        <v>229</v>
      </c>
      <c r="AH8" s="171">
        <v>0.0</v>
      </c>
      <c r="AI8" s="175" t="s">
        <v>230</v>
      </c>
      <c r="AJ8" s="169" t="s">
        <v>119</v>
      </c>
      <c r="AK8" s="174" t="s">
        <v>229</v>
      </c>
      <c r="AL8" s="171">
        <v>0.0</v>
      </c>
      <c r="AM8" s="175" t="s">
        <v>230</v>
      </c>
      <c r="AN8" s="169" t="s">
        <v>119</v>
      </c>
      <c r="AO8" s="174" t="s">
        <v>229</v>
      </c>
      <c r="AP8" s="171">
        <v>0.0</v>
      </c>
      <c r="AQ8" s="175" t="s">
        <v>230</v>
      </c>
      <c r="AR8" s="169" t="s">
        <v>119</v>
      </c>
      <c r="AS8" s="174" t="s">
        <v>229</v>
      </c>
      <c r="AT8" s="171">
        <v>0.0</v>
      </c>
      <c r="AU8" s="175" t="s">
        <v>230</v>
      </c>
      <c r="AV8" s="169" t="s">
        <v>119</v>
      </c>
      <c r="AW8" s="174" t="s">
        <v>229</v>
      </c>
      <c r="AX8" s="171">
        <v>0.0</v>
      </c>
      <c r="AY8" s="175" t="s">
        <v>230</v>
      </c>
      <c r="AZ8" s="169" t="s">
        <v>106</v>
      </c>
      <c r="BA8" s="174" t="s">
        <v>231</v>
      </c>
      <c r="BB8" s="171">
        <v>10.0</v>
      </c>
      <c r="BC8" s="175" t="s">
        <v>230</v>
      </c>
      <c r="BD8" s="169" t="s">
        <v>230</v>
      </c>
      <c r="BE8" s="176" t="s">
        <v>230</v>
      </c>
      <c r="BF8" s="171">
        <v>0.0</v>
      </c>
      <c r="BG8" s="175" t="s">
        <v>230</v>
      </c>
      <c r="BH8" s="177" t="s">
        <v>119</v>
      </c>
      <c r="BI8" s="178">
        <v>0.0</v>
      </c>
      <c r="BJ8" s="171"/>
      <c r="BK8" s="172"/>
      <c r="BL8" s="177" t="s">
        <v>119</v>
      </c>
      <c r="BM8" s="178">
        <v>0.0</v>
      </c>
      <c r="BN8" s="171"/>
      <c r="BO8" s="172"/>
      <c r="BP8" s="177" t="s">
        <v>119</v>
      </c>
      <c r="BQ8" s="178">
        <v>0.0</v>
      </c>
      <c r="BR8" s="171"/>
      <c r="BS8" s="172"/>
      <c r="BT8" s="177" t="s">
        <v>119</v>
      </c>
      <c r="BU8" s="178">
        <v>0.0</v>
      </c>
      <c r="BV8" s="171"/>
      <c r="BW8" s="172"/>
      <c r="BX8" s="177" t="s">
        <v>119</v>
      </c>
      <c r="BY8" s="178">
        <v>0.0</v>
      </c>
      <c r="BZ8" s="171"/>
      <c r="CA8" s="172"/>
      <c r="CB8" s="177" t="s">
        <v>106</v>
      </c>
      <c r="CC8" s="178">
        <v>0.4166666666666667</v>
      </c>
      <c r="CD8" s="179">
        <v>10.0</v>
      </c>
      <c r="CE8" s="172"/>
      <c r="CF8" s="169"/>
      <c r="CG8" s="170"/>
      <c r="CH8" s="171"/>
      <c r="CI8" s="172"/>
      <c r="CJ8" s="169"/>
      <c r="CK8" s="170"/>
      <c r="CL8" s="171"/>
      <c r="CM8" s="172"/>
      <c r="CN8" s="169"/>
      <c r="CO8" s="170"/>
      <c r="CP8" s="171"/>
      <c r="CQ8" s="172"/>
      <c r="CR8" s="169"/>
      <c r="CS8" s="170"/>
      <c r="CT8" s="171"/>
      <c r="CU8" s="172"/>
      <c r="CV8" s="169"/>
      <c r="CW8" s="170"/>
      <c r="CX8" s="171"/>
      <c r="CY8" s="172"/>
      <c r="CZ8" s="169"/>
      <c r="DA8" s="170"/>
      <c r="DB8" s="171"/>
      <c r="DC8" s="172"/>
      <c r="DD8" s="169"/>
      <c r="DE8" s="170"/>
      <c r="DF8" s="171"/>
      <c r="DG8" s="172"/>
      <c r="DH8" s="169"/>
      <c r="DI8" s="170"/>
      <c r="DJ8" s="171"/>
      <c r="DK8" s="172"/>
      <c r="DL8" s="169"/>
      <c r="DM8" s="170"/>
      <c r="DN8" s="171"/>
      <c r="DO8" s="172"/>
      <c r="DP8" s="169"/>
      <c r="DQ8" s="170"/>
      <c r="DR8" s="171"/>
      <c r="DS8" s="172"/>
      <c r="DT8" s="169"/>
      <c r="DU8" s="170"/>
      <c r="DV8" s="171"/>
      <c r="DW8" s="172"/>
      <c r="DX8" s="169"/>
      <c r="DY8" s="170"/>
      <c r="DZ8" s="171"/>
      <c r="EA8" s="180"/>
      <c r="EB8" s="3"/>
      <c r="EC8" s="126"/>
      <c r="ED8" s="3"/>
      <c r="EE8" s="3"/>
      <c r="EF8" s="3"/>
      <c r="EG8" s="3"/>
    </row>
    <row r="9" ht="16.5" customHeight="1">
      <c r="A9" s="163" t="str">
        <f>IF(ISERROR(Lenker!A3),"N.N.",Lenker!A3)</f>
        <v>Fröhlacher, Hubert</v>
      </c>
      <c r="B9" s="164" t="str">
        <f t="shared" si="1"/>
        <v>33 / 0 / 0</v>
      </c>
      <c r="C9" s="181">
        <f t="shared" si="2"/>
        <v>0.9583333333</v>
      </c>
      <c r="D9" s="166">
        <v>0.0</v>
      </c>
      <c r="E9" s="165" t="s">
        <v>232</v>
      </c>
      <c r="F9" s="182"/>
      <c r="G9" s="183"/>
      <c r="H9" s="173"/>
      <c r="I9" s="170"/>
      <c r="J9" s="171"/>
      <c r="K9" s="172"/>
      <c r="L9" s="173"/>
      <c r="M9" s="170"/>
      <c r="N9" s="171"/>
      <c r="O9" s="172"/>
      <c r="P9" s="173"/>
      <c r="Q9" s="170"/>
      <c r="R9" s="171"/>
      <c r="S9" s="172"/>
      <c r="T9" s="173"/>
      <c r="U9" s="170"/>
      <c r="V9" s="171"/>
      <c r="W9" s="172"/>
      <c r="X9" s="173"/>
      <c r="Y9" s="170"/>
      <c r="Z9" s="171"/>
      <c r="AA9" s="172"/>
      <c r="AB9" s="173"/>
      <c r="AC9" s="170"/>
      <c r="AD9" s="171"/>
      <c r="AE9" s="172"/>
      <c r="AF9" s="173" t="s">
        <v>230</v>
      </c>
      <c r="AG9" s="176" t="s">
        <v>230</v>
      </c>
      <c r="AH9" s="171">
        <v>0.0</v>
      </c>
      <c r="AI9" s="175" t="s">
        <v>230</v>
      </c>
      <c r="AJ9" s="173" t="s">
        <v>230</v>
      </c>
      <c r="AK9" s="176" t="s">
        <v>230</v>
      </c>
      <c r="AL9" s="171">
        <v>0.0</v>
      </c>
      <c r="AM9" s="175" t="s">
        <v>230</v>
      </c>
      <c r="AN9" s="173" t="s">
        <v>230</v>
      </c>
      <c r="AO9" s="176" t="s">
        <v>230</v>
      </c>
      <c r="AP9" s="171">
        <v>0.0</v>
      </c>
      <c r="AQ9" s="175" t="s">
        <v>230</v>
      </c>
      <c r="AR9" s="173" t="s">
        <v>89</v>
      </c>
      <c r="AS9" s="174" t="s">
        <v>231</v>
      </c>
      <c r="AT9" s="171">
        <v>10.0</v>
      </c>
      <c r="AU9" s="175" t="s">
        <v>230</v>
      </c>
      <c r="AV9" s="173" t="s">
        <v>230</v>
      </c>
      <c r="AW9" s="176" t="s">
        <v>230</v>
      </c>
      <c r="AX9" s="171">
        <v>0.0</v>
      </c>
      <c r="AY9" s="175" t="s">
        <v>230</v>
      </c>
      <c r="AZ9" s="173" t="s">
        <v>230</v>
      </c>
      <c r="BA9" s="176" t="s">
        <v>230</v>
      </c>
      <c r="BB9" s="171">
        <v>0.0</v>
      </c>
      <c r="BC9" s="175" t="s">
        <v>230</v>
      </c>
      <c r="BD9" s="173" t="s">
        <v>230</v>
      </c>
      <c r="BE9" s="176" t="s">
        <v>230</v>
      </c>
      <c r="BF9" s="171">
        <v>0.0</v>
      </c>
      <c r="BG9" s="175" t="s">
        <v>230</v>
      </c>
      <c r="BH9" s="173"/>
      <c r="BI9" s="170"/>
      <c r="BJ9" s="171"/>
      <c r="BK9" s="172"/>
      <c r="BL9" s="173"/>
      <c r="BM9" s="170"/>
      <c r="BN9" s="171"/>
      <c r="BO9" s="172"/>
      <c r="BP9" s="173"/>
      <c r="BQ9" s="170"/>
      <c r="BR9" s="171"/>
      <c r="BS9" s="172"/>
      <c r="BT9" s="184" t="s">
        <v>85</v>
      </c>
      <c r="BU9" s="178">
        <v>0.5</v>
      </c>
      <c r="BV9" s="179">
        <v>12.0</v>
      </c>
      <c r="BW9" s="172"/>
      <c r="BX9" s="184" t="s">
        <v>92</v>
      </c>
      <c r="BY9" s="178">
        <v>0.4583333333333333</v>
      </c>
      <c r="BZ9" s="179">
        <v>11.0</v>
      </c>
      <c r="CA9" s="172"/>
      <c r="CB9" s="173"/>
      <c r="CC9" s="170"/>
      <c r="CD9" s="171"/>
      <c r="CE9" s="172"/>
      <c r="CF9" s="173"/>
      <c r="CG9" s="170"/>
      <c r="CH9" s="171"/>
      <c r="CI9" s="172"/>
      <c r="CJ9" s="169"/>
      <c r="CK9" s="170"/>
      <c r="CL9" s="171"/>
      <c r="CM9" s="172"/>
      <c r="CN9" s="173"/>
      <c r="CO9" s="170"/>
      <c r="CP9" s="171"/>
      <c r="CQ9" s="172"/>
      <c r="CR9" s="173"/>
      <c r="CS9" s="170"/>
      <c r="CT9" s="171"/>
      <c r="CU9" s="172"/>
      <c r="CV9" s="173"/>
      <c r="CW9" s="170"/>
      <c r="CX9" s="171"/>
      <c r="CY9" s="172"/>
      <c r="CZ9" s="173"/>
      <c r="DA9" s="170"/>
      <c r="DB9" s="171"/>
      <c r="DC9" s="172"/>
      <c r="DD9" s="173"/>
      <c r="DE9" s="170"/>
      <c r="DF9" s="171"/>
      <c r="DG9" s="172"/>
      <c r="DH9" s="173"/>
      <c r="DI9" s="170"/>
      <c r="DJ9" s="171"/>
      <c r="DK9" s="172"/>
      <c r="DL9" s="173"/>
      <c r="DM9" s="170"/>
      <c r="DN9" s="171"/>
      <c r="DO9" s="172"/>
      <c r="DP9" s="173"/>
      <c r="DQ9" s="170"/>
      <c r="DR9" s="171"/>
      <c r="DS9" s="172"/>
      <c r="DT9" s="173"/>
      <c r="DU9" s="170"/>
      <c r="DV9" s="171"/>
      <c r="DW9" s="172"/>
      <c r="DX9" s="173"/>
      <c r="DY9" s="170"/>
      <c r="DZ9" s="171"/>
      <c r="EA9" s="180"/>
      <c r="EB9" s="3"/>
      <c r="EC9" s="126"/>
      <c r="ED9" s="3"/>
      <c r="EE9" s="3"/>
      <c r="EF9" s="3"/>
      <c r="EG9" s="3"/>
    </row>
    <row r="10" ht="16.5" customHeight="1">
      <c r="A10" s="163" t="str">
        <f>IF(ISERROR(Lenker!A4),"N.N.",Lenker!A4)</f>
        <v>Genäuß, Thomas</v>
      </c>
      <c r="B10" s="164" t="str">
        <f t="shared" si="1"/>
        <v>56 / 0 / 0</v>
      </c>
      <c r="C10" s="181">
        <f t="shared" si="2"/>
        <v>1.375</v>
      </c>
      <c r="D10" s="166">
        <v>0.0</v>
      </c>
      <c r="E10" s="165" t="s">
        <v>233</v>
      </c>
      <c r="F10" s="182"/>
      <c r="G10" s="183"/>
      <c r="H10" s="173"/>
      <c r="I10" s="170"/>
      <c r="J10" s="171"/>
      <c r="K10" s="172"/>
      <c r="L10" s="173"/>
      <c r="M10" s="170"/>
      <c r="N10" s="171"/>
      <c r="O10" s="172"/>
      <c r="P10" s="173"/>
      <c r="Q10" s="170"/>
      <c r="R10" s="171"/>
      <c r="S10" s="172"/>
      <c r="T10" s="173"/>
      <c r="U10" s="170"/>
      <c r="V10" s="171"/>
      <c r="W10" s="172"/>
      <c r="X10" s="173"/>
      <c r="Y10" s="170"/>
      <c r="Z10" s="171"/>
      <c r="AA10" s="172"/>
      <c r="AB10" s="173"/>
      <c r="AC10" s="170"/>
      <c r="AD10" s="171"/>
      <c r="AE10" s="172"/>
      <c r="AF10" s="173" t="s">
        <v>102</v>
      </c>
      <c r="AG10" s="174" t="s">
        <v>234</v>
      </c>
      <c r="AH10" s="171">
        <v>3.0</v>
      </c>
      <c r="AI10" s="175" t="s">
        <v>230</v>
      </c>
      <c r="AJ10" s="173" t="s">
        <v>230</v>
      </c>
      <c r="AK10" s="176" t="s">
        <v>230</v>
      </c>
      <c r="AL10" s="171">
        <v>0.0</v>
      </c>
      <c r="AM10" s="175" t="s">
        <v>230</v>
      </c>
      <c r="AN10" s="173" t="s">
        <v>230</v>
      </c>
      <c r="AO10" s="176" t="s">
        <v>230</v>
      </c>
      <c r="AP10" s="171">
        <v>0.0</v>
      </c>
      <c r="AQ10" s="175" t="s">
        <v>230</v>
      </c>
      <c r="AR10" s="173" t="s">
        <v>81</v>
      </c>
      <c r="AS10" s="174" t="s">
        <v>231</v>
      </c>
      <c r="AT10" s="171">
        <v>10.0</v>
      </c>
      <c r="AU10" s="175" t="s">
        <v>230</v>
      </c>
      <c r="AV10" s="173" t="s">
        <v>89</v>
      </c>
      <c r="AW10" s="174" t="s">
        <v>231</v>
      </c>
      <c r="AX10" s="171">
        <v>10.0</v>
      </c>
      <c r="AY10" s="175" t="s">
        <v>230</v>
      </c>
      <c r="AZ10" s="173" t="s">
        <v>230</v>
      </c>
      <c r="BA10" s="176" t="s">
        <v>230</v>
      </c>
      <c r="BB10" s="171">
        <v>0.0</v>
      </c>
      <c r="BC10" s="175" t="s">
        <v>230</v>
      </c>
      <c r="BD10" s="173" t="s">
        <v>230</v>
      </c>
      <c r="BE10" s="176" t="s">
        <v>230</v>
      </c>
      <c r="BF10" s="171">
        <v>0.0</v>
      </c>
      <c r="BG10" s="175" t="s">
        <v>230</v>
      </c>
      <c r="BH10" s="184" t="s">
        <v>77</v>
      </c>
      <c r="BI10" s="178">
        <v>0.4583333333333333</v>
      </c>
      <c r="BJ10" s="179">
        <v>11.0</v>
      </c>
      <c r="BK10" s="172"/>
      <c r="BL10" s="184" t="s">
        <v>99</v>
      </c>
      <c r="BM10" s="178">
        <v>0.5</v>
      </c>
      <c r="BN10" s="179">
        <v>12.0</v>
      </c>
      <c r="BO10" s="172"/>
      <c r="BP10" s="173"/>
      <c r="BQ10" s="170"/>
      <c r="BR10" s="171"/>
      <c r="BS10" s="172"/>
      <c r="BT10" s="173"/>
      <c r="BU10" s="170"/>
      <c r="BV10" s="171"/>
      <c r="BW10" s="172"/>
      <c r="BX10" s="184" t="s">
        <v>81</v>
      </c>
      <c r="BY10" s="178">
        <v>0.4166666666666667</v>
      </c>
      <c r="BZ10" s="179">
        <v>10.0</v>
      </c>
      <c r="CA10" s="172"/>
      <c r="CB10" s="173"/>
      <c r="CC10" s="170"/>
      <c r="CD10" s="171"/>
      <c r="CE10" s="172"/>
      <c r="CF10" s="173"/>
      <c r="CG10" s="170"/>
      <c r="CH10" s="171"/>
      <c r="CI10" s="172"/>
      <c r="CJ10" s="173"/>
      <c r="CK10" s="170"/>
      <c r="CL10" s="171"/>
      <c r="CM10" s="172"/>
      <c r="CN10" s="173"/>
      <c r="CO10" s="170"/>
      <c r="CP10" s="171"/>
      <c r="CQ10" s="172"/>
      <c r="CR10" s="173"/>
      <c r="CS10" s="170"/>
      <c r="CT10" s="171"/>
      <c r="CU10" s="172"/>
      <c r="CV10" s="173"/>
      <c r="CW10" s="170"/>
      <c r="CX10" s="171"/>
      <c r="CY10" s="172"/>
      <c r="CZ10" s="173"/>
      <c r="DA10" s="170"/>
      <c r="DB10" s="171"/>
      <c r="DC10" s="172"/>
      <c r="DD10" s="173"/>
      <c r="DE10" s="170"/>
      <c r="DF10" s="171"/>
      <c r="DG10" s="172"/>
      <c r="DH10" s="173"/>
      <c r="DI10" s="170"/>
      <c r="DJ10" s="171"/>
      <c r="DK10" s="172"/>
      <c r="DL10" s="173"/>
      <c r="DM10" s="170"/>
      <c r="DN10" s="171"/>
      <c r="DO10" s="172"/>
      <c r="DP10" s="173"/>
      <c r="DQ10" s="170"/>
      <c r="DR10" s="171"/>
      <c r="DS10" s="172"/>
      <c r="DT10" s="173"/>
      <c r="DU10" s="170"/>
      <c r="DV10" s="171"/>
      <c r="DW10" s="172"/>
      <c r="DX10" s="173"/>
      <c r="DY10" s="170"/>
      <c r="DZ10" s="171"/>
      <c r="EA10" s="180"/>
      <c r="EB10" s="3"/>
      <c r="EC10" s="126"/>
      <c r="ED10" s="3"/>
      <c r="EE10" s="3"/>
      <c r="EF10" s="3"/>
      <c r="EG10" s="3"/>
    </row>
    <row r="11" ht="16.5" customHeight="1">
      <c r="A11" s="163" t="str">
        <f>IF(ISERROR(Lenker!A5),"N.N.",Lenker!A5)</f>
        <v>Hinteregger, Manfred</v>
      </c>
      <c r="B11" s="164" t="str">
        <f t="shared" si="1"/>
        <v>87 / 0 / 0</v>
      </c>
      <c r="C11" s="181">
        <f t="shared" si="2"/>
        <v>1.791666667</v>
      </c>
      <c r="D11" s="166">
        <v>0.0</v>
      </c>
      <c r="E11" s="165" t="s">
        <v>235</v>
      </c>
      <c r="F11" s="182"/>
      <c r="G11" s="183"/>
      <c r="H11" s="173"/>
      <c r="I11" s="170"/>
      <c r="J11" s="171"/>
      <c r="K11" s="172"/>
      <c r="L11" s="173"/>
      <c r="M11" s="170"/>
      <c r="N11" s="171"/>
      <c r="O11" s="172"/>
      <c r="P11" s="173"/>
      <c r="Q11" s="170"/>
      <c r="R11" s="171"/>
      <c r="S11" s="172"/>
      <c r="T11" s="173"/>
      <c r="U11" s="170"/>
      <c r="V11" s="171"/>
      <c r="W11" s="172"/>
      <c r="X11" s="173"/>
      <c r="Y11" s="170"/>
      <c r="Z11" s="171"/>
      <c r="AA11" s="172"/>
      <c r="AB11" s="173"/>
      <c r="AC11" s="170"/>
      <c r="AD11" s="171"/>
      <c r="AE11" s="172"/>
      <c r="AF11" s="173" t="s">
        <v>67</v>
      </c>
      <c r="AG11" s="174" t="s">
        <v>236</v>
      </c>
      <c r="AH11" s="171">
        <v>11.0</v>
      </c>
      <c r="AI11" s="175" t="s">
        <v>230</v>
      </c>
      <c r="AJ11" s="173" t="s">
        <v>67</v>
      </c>
      <c r="AK11" s="174" t="s">
        <v>236</v>
      </c>
      <c r="AL11" s="171">
        <v>11.0</v>
      </c>
      <c r="AM11" s="175" t="s">
        <v>230</v>
      </c>
      <c r="AN11" s="173" t="s">
        <v>67</v>
      </c>
      <c r="AO11" s="174" t="s">
        <v>236</v>
      </c>
      <c r="AP11" s="171">
        <v>11.0</v>
      </c>
      <c r="AQ11" s="175" t="s">
        <v>230</v>
      </c>
      <c r="AR11" s="173" t="s">
        <v>230</v>
      </c>
      <c r="AS11" s="176" t="s">
        <v>230</v>
      </c>
      <c r="AT11" s="171">
        <v>0.0</v>
      </c>
      <c r="AU11" s="175" t="s">
        <v>230</v>
      </c>
      <c r="AV11" s="173" t="s">
        <v>67</v>
      </c>
      <c r="AW11" s="174" t="s">
        <v>236</v>
      </c>
      <c r="AX11" s="171">
        <v>11.0</v>
      </c>
      <c r="AY11" s="175" t="s">
        <v>230</v>
      </c>
      <c r="AZ11" s="173" t="s">
        <v>230</v>
      </c>
      <c r="BA11" s="176" t="s">
        <v>230</v>
      </c>
      <c r="BB11" s="171">
        <v>0.0</v>
      </c>
      <c r="BC11" s="175" t="s">
        <v>230</v>
      </c>
      <c r="BD11" s="173" t="s">
        <v>230</v>
      </c>
      <c r="BE11" s="176" t="s">
        <v>230</v>
      </c>
      <c r="BF11" s="171">
        <v>0.0</v>
      </c>
      <c r="BG11" s="175" t="s">
        <v>230</v>
      </c>
      <c r="BH11" s="184" t="s">
        <v>81</v>
      </c>
      <c r="BI11" s="178">
        <v>0.4166666666666667</v>
      </c>
      <c r="BJ11" s="179">
        <v>10.0</v>
      </c>
      <c r="BK11" s="172"/>
      <c r="BL11" s="184" t="s">
        <v>92</v>
      </c>
      <c r="BM11" s="178">
        <v>0.4583333333333333</v>
      </c>
      <c r="BN11" s="179">
        <v>11.0</v>
      </c>
      <c r="BO11" s="172"/>
      <c r="BP11" s="173"/>
      <c r="BQ11" s="170"/>
      <c r="BR11" s="171"/>
      <c r="BS11" s="172"/>
      <c r="BT11" s="184" t="s">
        <v>89</v>
      </c>
      <c r="BU11" s="178">
        <v>0.4166666666666667</v>
      </c>
      <c r="BV11" s="179">
        <v>10.0</v>
      </c>
      <c r="BW11" s="172"/>
      <c r="BX11" s="184" t="s">
        <v>99</v>
      </c>
      <c r="BY11" s="178">
        <v>0.5</v>
      </c>
      <c r="BZ11" s="179">
        <v>12.0</v>
      </c>
      <c r="CA11" s="172"/>
      <c r="CB11" s="173"/>
      <c r="CC11" s="170"/>
      <c r="CD11" s="171"/>
      <c r="CE11" s="172"/>
      <c r="CF11" s="173"/>
      <c r="CG11" s="170"/>
      <c r="CH11" s="171"/>
      <c r="CI11" s="172"/>
      <c r="CJ11" s="173"/>
      <c r="CK11" s="170"/>
      <c r="CL11" s="171"/>
      <c r="CM11" s="172"/>
      <c r="CN11" s="173"/>
      <c r="CO11" s="170"/>
      <c r="CP11" s="171"/>
      <c r="CQ11" s="172"/>
      <c r="CR11" s="173"/>
      <c r="CS11" s="170"/>
      <c r="CT11" s="171"/>
      <c r="CU11" s="172"/>
      <c r="CV11" s="173"/>
      <c r="CW11" s="170"/>
      <c r="CX11" s="171"/>
      <c r="CY11" s="172"/>
      <c r="CZ11" s="173"/>
      <c r="DA11" s="170"/>
      <c r="DB11" s="171"/>
      <c r="DC11" s="172"/>
      <c r="DD11" s="173"/>
      <c r="DE11" s="170"/>
      <c r="DF11" s="171"/>
      <c r="DG11" s="172"/>
      <c r="DH11" s="173"/>
      <c r="DI11" s="170"/>
      <c r="DJ11" s="171"/>
      <c r="DK11" s="172"/>
      <c r="DL11" s="173"/>
      <c r="DM11" s="170"/>
      <c r="DN11" s="171"/>
      <c r="DO11" s="172"/>
      <c r="DP11" s="173"/>
      <c r="DQ11" s="170"/>
      <c r="DR11" s="171"/>
      <c r="DS11" s="172"/>
      <c r="DT11" s="173"/>
      <c r="DU11" s="170"/>
      <c r="DV11" s="171"/>
      <c r="DW11" s="172"/>
      <c r="DX11" s="173"/>
      <c r="DY11" s="170"/>
      <c r="DZ11" s="171"/>
      <c r="EA11" s="180"/>
      <c r="EB11" s="3"/>
      <c r="EC11" s="126"/>
      <c r="ED11" s="3"/>
      <c r="EE11" s="3"/>
      <c r="EF11" s="3"/>
      <c r="EG11" s="3"/>
    </row>
    <row r="12" ht="16.5" customHeight="1">
      <c r="A12" s="163" t="str">
        <f>IF(ISERROR(Lenker!A6),"N.N.",Lenker!A6)</f>
        <v>Kandolf, Alfred</v>
      </c>
      <c r="B12" s="164" t="str">
        <f t="shared" si="1"/>
        <v>67 / 0 / 0</v>
      </c>
      <c r="C12" s="181">
        <f t="shared" si="2"/>
        <v>1.416666667</v>
      </c>
      <c r="D12" s="166">
        <v>0.0</v>
      </c>
      <c r="E12" s="165" t="s">
        <v>237</v>
      </c>
      <c r="F12" s="182"/>
      <c r="G12" s="183"/>
      <c r="H12" s="173"/>
      <c r="I12" s="170"/>
      <c r="J12" s="171"/>
      <c r="K12" s="172"/>
      <c r="L12" s="173"/>
      <c r="M12" s="170"/>
      <c r="N12" s="171"/>
      <c r="O12" s="172"/>
      <c r="P12" s="173"/>
      <c r="Q12" s="170"/>
      <c r="R12" s="171"/>
      <c r="S12" s="172"/>
      <c r="T12" s="173"/>
      <c r="U12" s="170"/>
      <c r="V12" s="171"/>
      <c r="W12" s="172"/>
      <c r="X12" s="173"/>
      <c r="Y12" s="170"/>
      <c r="Z12" s="171"/>
      <c r="AA12" s="172"/>
      <c r="AB12" s="173"/>
      <c r="AC12" s="170"/>
      <c r="AD12" s="171"/>
      <c r="AE12" s="172"/>
      <c r="AF12" s="173" t="s">
        <v>81</v>
      </c>
      <c r="AG12" s="174" t="s">
        <v>231</v>
      </c>
      <c r="AH12" s="171">
        <v>10.0</v>
      </c>
      <c r="AI12" s="175" t="s">
        <v>230</v>
      </c>
      <c r="AJ12" s="173" t="s">
        <v>81</v>
      </c>
      <c r="AK12" s="174" t="s">
        <v>231</v>
      </c>
      <c r="AL12" s="171">
        <v>10.0</v>
      </c>
      <c r="AM12" s="175" t="s">
        <v>230</v>
      </c>
      <c r="AN12" s="173" t="s">
        <v>81</v>
      </c>
      <c r="AO12" s="174" t="s">
        <v>231</v>
      </c>
      <c r="AP12" s="171">
        <v>10.0</v>
      </c>
      <c r="AQ12" s="175" t="s">
        <v>230</v>
      </c>
      <c r="AR12" s="173" t="s">
        <v>102</v>
      </c>
      <c r="AS12" s="174" t="s">
        <v>234</v>
      </c>
      <c r="AT12" s="171">
        <v>3.0</v>
      </c>
      <c r="AU12" s="175" t="s">
        <v>230</v>
      </c>
      <c r="AV12" s="173" t="s">
        <v>230</v>
      </c>
      <c r="AW12" s="176" t="s">
        <v>230</v>
      </c>
      <c r="AX12" s="171">
        <v>0.0</v>
      </c>
      <c r="AY12" s="175" t="s">
        <v>230</v>
      </c>
      <c r="AZ12" s="173" t="s">
        <v>230</v>
      </c>
      <c r="BA12" s="176" t="s">
        <v>230</v>
      </c>
      <c r="BB12" s="171">
        <v>0.0</v>
      </c>
      <c r="BC12" s="175" t="s">
        <v>230</v>
      </c>
      <c r="BD12" s="173" t="s">
        <v>230</v>
      </c>
      <c r="BE12" s="176" t="s">
        <v>230</v>
      </c>
      <c r="BF12" s="171">
        <v>0.0</v>
      </c>
      <c r="BG12" s="175" t="s">
        <v>230</v>
      </c>
      <c r="BH12" s="184" t="s">
        <v>85</v>
      </c>
      <c r="BI12" s="178">
        <v>0.5</v>
      </c>
      <c r="BJ12" s="179">
        <v>12.0</v>
      </c>
      <c r="BK12" s="172"/>
      <c r="BL12" s="173"/>
      <c r="BM12" s="170"/>
      <c r="BN12" s="171"/>
      <c r="BO12" s="172"/>
      <c r="BP12" s="184" t="s">
        <v>89</v>
      </c>
      <c r="BQ12" s="178">
        <v>0.4166666666666667</v>
      </c>
      <c r="BR12" s="179">
        <v>10.0</v>
      </c>
      <c r="BS12" s="172"/>
      <c r="BT12" s="184" t="s">
        <v>99</v>
      </c>
      <c r="BU12" s="178">
        <v>0.5</v>
      </c>
      <c r="BV12" s="179">
        <v>12.0</v>
      </c>
      <c r="BW12" s="172"/>
      <c r="BX12" s="173"/>
      <c r="BY12" s="170"/>
      <c r="BZ12" s="171"/>
      <c r="CA12" s="172"/>
      <c r="CB12" s="173"/>
      <c r="CC12" s="170"/>
      <c r="CD12" s="171"/>
      <c r="CE12" s="172"/>
      <c r="CF12" s="173"/>
      <c r="CG12" s="170"/>
      <c r="CH12" s="171"/>
      <c r="CI12" s="172"/>
      <c r="CJ12" s="173"/>
      <c r="CK12" s="170"/>
      <c r="CL12" s="171"/>
      <c r="CM12" s="172"/>
      <c r="CN12" s="173"/>
      <c r="CO12" s="170"/>
      <c r="CP12" s="171"/>
      <c r="CQ12" s="172"/>
      <c r="CR12" s="173"/>
      <c r="CS12" s="170"/>
      <c r="CT12" s="171"/>
      <c r="CU12" s="172"/>
      <c r="CV12" s="173"/>
      <c r="CW12" s="170"/>
      <c r="CX12" s="171"/>
      <c r="CY12" s="172"/>
      <c r="CZ12" s="173"/>
      <c r="DA12" s="170"/>
      <c r="DB12" s="171"/>
      <c r="DC12" s="172"/>
      <c r="DD12" s="173"/>
      <c r="DE12" s="170"/>
      <c r="DF12" s="171"/>
      <c r="DG12" s="172"/>
      <c r="DH12" s="173"/>
      <c r="DI12" s="170"/>
      <c r="DJ12" s="171"/>
      <c r="DK12" s="172"/>
      <c r="DL12" s="173"/>
      <c r="DM12" s="170"/>
      <c r="DN12" s="171"/>
      <c r="DO12" s="172"/>
      <c r="DP12" s="173"/>
      <c r="DQ12" s="170"/>
      <c r="DR12" s="171"/>
      <c r="DS12" s="172"/>
      <c r="DT12" s="173"/>
      <c r="DU12" s="170"/>
      <c r="DV12" s="171"/>
      <c r="DW12" s="172"/>
      <c r="DX12" s="173"/>
      <c r="DY12" s="170"/>
      <c r="DZ12" s="171"/>
      <c r="EA12" s="180"/>
      <c r="EB12" s="3"/>
      <c r="EC12" s="126"/>
      <c r="ED12" s="3"/>
      <c r="EE12" s="3"/>
      <c r="EF12" s="3"/>
      <c r="EG12" s="3"/>
    </row>
    <row r="13" ht="16.5" customHeight="1">
      <c r="A13" s="163" t="str">
        <f>IF(ISERROR(Lenker!A7),"N.N.",Lenker!A7)</f>
        <v>Konheiser, Elisabeth</v>
      </c>
      <c r="B13" s="164" t="str">
        <f t="shared" si="1"/>
        <v>52 / 0 / 0</v>
      </c>
      <c r="C13" s="181">
        <f t="shared" si="2"/>
        <v>1.495833333</v>
      </c>
      <c r="D13" s="166">
        <v>0.0</v>
      </c>
      <c r="E13" s="165" t="s">
        <v>238</v>
      </c>
      <c r="F13" s="182">
        <v>0.0375</v>
      </c>
      <c r="G13" s="183"/>
      <c r="H13" s="173"/>
      <c r="I13" s="170"/>
      <c r="J13" s="171"/>
      <c r="K13" s="172"/>
      <c r="L13" s="173"/>
      <c r="M13" s="170"/>
      <c r="N13" s="171"/>
      <c r="O13" s="172"/>
      <c r="P13" s="173"/>
      <c r="Q13" s="170"/>
      <c r="R13" s="171"/>
      <c r="S13" s="172"/>
      <c r="T13" s="173"/>
      <c r="U13" s="170"/>
      <c r="V13" s="171"/>
      <c r="W13" s="172"/>
      <c r="X13" s="173"/>
      <c r="Y13" s="170"/>
      <c r="Z13" s="171"/>
      <c r="AA13" s="172"/>
      <c r="AB13" s="173"/>
      <c r="AC13" s="170"/>
      <c r="AD13" s="171"/>
      <c r="AE13" s="172"/>
      <c r="AF13" s="173" t="s">
        <v>230</v>
      </c>
      <c r="AG13" s="176" t="s">
        <v>230</v>
      </c>
      <c r="AH13" s="171">
        <v>0.0</v>
      </c>
      <c r="AI13" s="175" t="s">
        <v>230</v>
      </c>
      <c r="AJ13" s="173" t="s">
        <v>230</v>
      </c>
      <c r="AK13" s="176" t="s">
        <v>230</v>
      </c>
      <c r="AL13" s="171">
        <v>0.0</v>
      </c>
      <c r="AM13" s="175" t="s">
        <v>230</v>
      </c>
      <c r="AN13" s="173" t="s">
        <v>102</v>
      </c>
      <c r="AO13" s="174" t="s">
        <v>234</v>
      </c>
      <c r="AP13" s="171">
        <v>3.0</v>
      </c>
      <c r="AQ13" s="175" t="s">
        <v>230</v>
      </c>
      <c r="AR13" s="173" t="s">
        <v>67</v>
      </c>
      <c r="AS13" s="174" t="s">
        <v>236</v>
      </c>
      <c r="AT13" s="171">
        <v>11.0</v>
      </c>
      <c r="AU13" s="175" t="s">
        <v>230</v>
      </c>
      <c r="AV13" s="173" t="s">
        <v>102</v>
      </c>
      <c r="AW13" s="174" t="s">
        <v>234</v>
      </c>
      <c r="AX13" s="171">
        <v>3.0</v>
      </c>
      <c r="AY13" s="175" t="s">
        <v>230</v>
      </c>
      <c r="AZ13" s="173" t="s">
        <v>230</v>
      </c>
      <c r="BA13" s="176" t="s">
        <v>230</v>
      </c>
      <c r="BB13" s="171">
        <v>0.0</v>
      </c>
      <c r="BC13" s="175" t="s">
        <v>230</v>
      </c>
      <c r="BD13" s="173" t="s">
        <v>230</v>
      </c>
      <c r="BE13" s="176" t="s">
        <v>230</v>
      </c>
      <c r="BF13" s="171">
        <v>0.0</v>
      </c>
      <c r="BG13" s="175" t="s">
        <v>230</v>
      </c>
      <c r="BH13" s="173"/>
      <c r="BI13" s="170"/>
      <c r="BJ13" s="171"/>
      <c r="BK13" s="172"/>
      <c r="BL13" s="184" t="s">
        <v>85</v>
      </c>
      <c r="BM13" s="178">
        <v>0.5</v>
      </c>
      <c r="BN13" s="179">
        <v>12.0</v>
      </c>
      <c r="BO13" s="172"/>
      <c r="BP13" s="184" t="s">
        <v>99</v>
      </c>
      <c r="BQ13" s="178">
        <v>0.5</v>
      </c>
      <c r="BR13" s="179">
        <v>12.0</v>
      </c>
      <c r="BS13" s="172"/>
      <c r="BT13" s="173"/>
      <c r="BU13" s="170"/>
      <c r="BV13" s="171"/>
      <c r="BW13" s="172"/>
      <c r="BX13" s="184" t="s">
        <v>67</v>
      </c>
      <c r="BY13" s="178">
        <v>0.4583333333333333</v>
      </c>
      <c r="BZ13" s="179">
        <v>11.0</v>
      </c>
      <c r="CA13" s="172"/>
      <c r="CB13" s="173"/>
      <c r="CC13" s="170"/>
      <c r="CD13" s="171"/>
      <c r="CE13" s="172"/>
      <c r="CF13" s="173"/>
      <c r="CG13" s="170"/>
      <c r="CH13" s="171"/>
      <c r="CI13" s="172"/>
      <c r="CJ13" s="173"/>
      <c r="CK13" s="170"/>
      <c r="CL13" s="171"/>
      <c r="CM13" s="172"/>
      <c r="CN13" s="173"/>
      <c r="CO13" s="170"/>
      <c r="CP13" s="171"/>
      <c r="CQ13" s="172"/>
      <c r="CR13" s="173"/>
      <c r="CS13" s="170"/>
      <c r="CT13" s="171"/>
      <c r="CU13" s="172"/>
      <c r="CV13" s="173"/>
      <c r="CW13" s="170"/>
      <c r="CX13" s="171"/>
      <c r="CY13" s="172"/>
      <c r="CZ13" s="173"/>
      <c r="DA13" s="170"/>
      <c r="DB13" s="171"/>
      <c r="DC13" s="172"/>
      <c r="DD13" s="173"/>
      <c r="DE13" s="170"/>
      <c r="DF13" s="171"/>
      <c r="DG13" s="172"/>
      <c r="DH13" s="173"/>
      <c r="DI13" s="170"/>
      <c r="DJ13" s="171"/>
      <c r="DK13" s="172"/>
      <c r="DL13" s="173"/>
      <c r="DM13" s="170"/>
      <c r="DN13" s="171"/>
      <c r="DO13" s="172"/>
      <c r="DP13" s="173"/>
      <c r="DQ13" s="170"/>
      <c r="DR13" s="171"/>
      <c r="DS13" s="172"/>
      <c r="DT13" s="173"/>
      <c r="DU13" s="170"/>
      <c r="DV13" s="171"/>
      <c r="DW13" s="172"/>
      <c r="DX13" s="173"/>
      <c r="DY13" s="170"/>
      <c r="DZ13" s="171"/>
      <c r="EA13" s="180"/>
      <c r="EB13" s="3"/>
      <c r="EC13" s="126"/>
      <c r="ED13" s="3"/>
      <c r="EE13" s="3"/>
      <c r="EF13" s="3"/>
      <c r="EG13" s="3"/>
    </row>
    <row r="14" ht="16.5" customHeight="1">
      <c r="A14" s="163" t="str">
        <f>IF(ISERROR(Lenker!A8),"N.N.",Lenker!A8)</f>
        <v>Lauhart, Egon</v>
      </c>
      <c r="B14" s="164" t="str">
        <f t="shared" si="1"/>
        <v>66 / 0 / 0</v>
      </c>
      <c r="C14" s="181">
        <f t="shared" si="2"/>
        <v>1.833333333</v>
      </c>
      <c r="D14" s="166">
        <v>0.0</v>
      </c>
      <c r="E14" s="165" t="s">
        <v>239</v>
      </c>
      <c r="F14" s="182"/>
      <c r="G14" s="183"/>
      <c r="H14" s="173"/>
      <c r="I14" s="170"/>
      <c r="J14" s="171"/>
      <c r="K14" s="172"/>
      <c r="L14" s="173"/>
      <c r="M14" s="170"/>
      <c r="N14" s="171"/>
      <c r="O14" s="172"/>
      <c r="P14" s="173"/>
      <c r="Q14" s="170"/>
      <c r="R14" s="171"/>
      <c r="S14" s="172"/>
      <c r="T14" s="173"/>
      <c r="U14" s="170"/>
      <c r="V14" s="171"/>
      <c r="W14" s="172"/>
      <c r="X14" s="173"/>
      <c r="Y14" s="170"/>
      <c r="Z14" s="171"/>
      <c r="AA14" s="172"/>
      <c r="AB14" s="173"/>
      <c r="AC14" s="170"/>
      <c r="AD14" s="171"/>
      <c r="AE14" s="172"/>
      <c r="AF14" s="173" t="s">
        <v>230</v>
      </c>
      <c r="AG14" s="176" t="s">
        <v>230</v>
      </c>
      <c r="AH14" s="171">
        <v>0.0</v>
      </c>
      <c r="AI14" s="175" t="s">
        <v>230</v>
      </c>
      <c r="AJ14" s="173" t="s">
        <v>89</v>
      </c>
      <c r="AK14" s="174" t="s">
        <v>231</v>
      </c>
      <c r="AL14" s="171">
        <v>10.0</v>
      </c>
      <c r="AM14" s="175" t="s">
        <v>230</v>
      </c>
      <c r="AN14" s="173" t="s">
        <v>230</v>
      </c>
      <c r="AO14" s="176" t="s">
        <v>230</v>
      </c>
      <c r="AP14" s="171">
        <v>0.0</v>
      </c>
      <c r="AQ14" s="175" t="s">
        <v>230</v>
      </c>
      <c r="AR14" s="173" t="s">
        <v>73</v>
      </c>
      <c r="AS14" s="174" t="s">
        <v>240</v>
      </c>
      <c r="AT14" s="171">
        <v>12.0</v>
      </c>
      <c r="AU14" s="175" t="s">
        <v>230</v>
      </c>
      <c r="AV14" s="173" t="s">
        <v>230</v>
      </c>
      <c r="AW14" s="176" t="s">
        <v>230</v>
      </c>
      <c r="AX14" s="171">
        <v>0.0</v>
      </c>
      <c r="AY14" s="175" t="s">
        <v>230</v>
      </c>
      <c r="AZ14" s="173" t="s">
        <v>230</v>
      </c>
      <c r="BA14" s="176" t="s">
        <v>230</v>
      </c>
      <c r="BB14" s="171">
        <v>0.0</v>
      </c>
      <c r="BC14" s="175" t="s">
        <v>230</v>
      </c>
      <c r="BD14" s="173" t="s">
        <v>230</v>
      </c>
      <c r="BE14" s="176" t="s">
        <v>230</v>
      </c>
      <c r="BF14" s="171">
        <v>0.0</v>
      </c>
      <c r="BG14" s="175" t="s">
        <v>230</v>
      </c>
      <c r="BH14" s="184" t="s">
        <v>89</v>
      </c>
      <c r="BI14" s="178">
        <v>0.4166666666666667</v>
      </c>
      <c r="BJ14" s="179">
        <v>10.0</v>
      </c>
      <c r="BK14" s="172"/>
      <c r="BL14" s="184" t="s">
        <v>95</v>
      </c>
      <c r="BM14" s="178">
        <v>0.4583333333333333</v>
      </c>
      <c r="BN14" s="179">
        <v>11.0</v>
      </c>
      <c r="BO14" s="172"/>
      <c r="BP14" s="173"/>
      <c r="BQ14" s="170"/>
      <c r="BR14" s="171"/>
      <c r="BS14" s="172"/>
      <c r="BT14" s="184" t="s">
        <v>92</v>
      </c>
      <c r="BU14" s="178">
        <v>0.4583333333333333</v>
      </c>
      <c r="BV14" s="179">
        <v>11.0</v>
      </c>
      <c r="BW14" s="172"/>
      <c r="BX14" s="184" t="s">
        <v>85</v>
      </c>
      <c r="BY14" s="178">
        <v>0.5</v>
      </c>
      <c r="BZ14" s="179">
        <v>12.0</v>
      </c>
      <c r="CA14" s="172"/>
      <c r="CB14" s="173"/>
      <c r="CC14" s="170"/>
      <c r="CD14" s="171"/>
      <c r="CE14" s="172"/>
      <c r="CF14" s="173"/>
      <c r="CG14" s="170"/>
      <c r="CH14" s="171"/>
      <c r="CI14" s="172"/>
      <c r="CJ14" s="173"/>
      <c r="CK14" s="170"/>
      <c r="CL14" s="171"/>
      <c r="CM14" s="172"/>
      <c r="CN14" s="173"/>
      <c r="CO14" s="170"/>
      <c r="CP14" s="171"/>
      <c r="CQ14" s="172"/>
      <c r="CR14" s="173"/>
      <c r="CS14" s="170"/>
      <c r="CT14" s="171"/>
      <c r="CU14" s="172"/>
      <c r="CV14" s="173"/>
      <c r="CW14" s="170"/>
      <c r="CX14" s="171"/>
      <c r="CY14" s="172"/>
      <c r="CZ14" s="173"/>
      <c r="DA14" s="170"/>
      <c r="DB14" s="171"/>
      <c r="DC14" s="172"/>
      <c r="DD14" s="173"/>
      <c r="DE14" s="170"/>
      <c r="DF14" s="171"/>
      <c r="DG14" s="172"/>
      <c r="DH14" s="173"/>
      <c r="DI14" s="170"/>
      <c r="DJ14" s="171"/>
      <c r="DK14" s="172"/>
      <c r="DL14" s="173"/>
      <c r="DM14" s="170"/>
      <c r="DN14" s="171"/>
      <c r="DO14" s="172"/>
      <c r="DP14" s="173"/>
      <c r="DQ14" s="170"/>
      <c r="DR14" s="171"/>
      <c r="DS14" s="172"/>
      <c r="DT14" s="173"/>
      <c r="DU14" s="170"/>
      <c r="DV14" s="171"/>
      <c r="DW14" s="172"/>
      <c r="DX14" s="173"/>
      <c r="DY14" s="170"/>
      <c r="DZ14" s="171"/>
      <c r="EA14" s="180"/>
      <c r="EB14" s="3"/>
      <c r="EC14" s="126"/>
      <c r="ED14" s="3"/>
      <c r="EE14" s="3"/>
      <c r="EF14" s="3"/>
      <c r="EG14" s="3"/>
    </row>
    <row r="15" ht="16.5" customHeight="1">
      <c r="A15" s="163" t="str">
        <f>IF(ISERROR(Lenker!A9),"N.N.",Lenker!A9)</f>
        <v>Madrutter, Anton</v>
      </c>
      <c r="B15" s="164" t="str">
        <f t="shared" si="1"/>
        <v>82 / 0 / 0</v>
      </c>
      <c r="C15" s="181">
        <f>(SUM(I15,M15,Q15,U15,Y15,AC15,AG15,AK15,AO15,AS15,AW15,BA15,BE15,BI15,BM15,BQ15,BU15,BY15,CC15,CG15,CK15,CO15,CS15,CW15,DA15,DE15,DI15,DM15,DQ15,DU15,DY15))+F15-C39</f>
        <v>0.375</v>
      </c>
      <c r="D15" s="166">
        <v>0.0</v>
      </c>
      <c r="E15" s="165" t="s">
        <v>241</v>
      </c>
      <c r="F15" s="182"/>
      <c r="G15" s="183"/>
      <c r="H15" s="173"/>
      <c r="I15" s="170"/>
      <c r="J15" s="171"/>
      <c r="K15" s="172"/>
      <c r="L15" s="173"/>
      <c r="M15" s="170"/>
      <c r="N15" s="171"/>
      <c r="O15" s="172"/>
      <c r="P15" s="173"/>
      <c r="Q15" s="170"/>
      <c r="R15" s="171"/>
      <c r="S15" s="172"/>
      <c r="T15" s="173"/>
      <c r="U15" s="170"/>
      <c r="V15" s="171"/>
      <c r="W15" s="172"/>
      <c r="X15" s="173"/>
      <c r="Y15" s="170"/>
      <c r="Z15" s="171"/>
      <c r="AA15" s="172"/>
      <c r="AB15" s="173"/>
      <c r="AC15" s="170"/>
      <c r="AD15" s="171"/>
      <c r="AE15" s="172"/>
      <c r="AF15" s="173" t="s">
        <v>85</v>
      </c>
      <c r="AG15" s="174" t="s">
        <v>240</v>
      </c>
      <c r="AH15" s="171">
        <v>12.0</v>
      </c>
      <c r="AI15" s="175" t="s">
        <v>230</v>
      </c>
      <c r="AJ15" s="173" t="s">
        <v>85</v>
      </c>
      <c r="AK15" s="174" t="s">
        <v>240</v>
      </c>
      <c r="AL15" s="171">
        <v>12.0</v>
      </c>
      <c r="AM15" s="175" t="s">
        <v>230</v>
      </c>
      <c r="AN15" s="173" t="s">
        <v>85</v>
      </c>
      <c r="AO15" s="174" t="s">
        <v>240</v>
      </c>
      <c r="AP15" s="171">
        <v>12.0</v>
      </c>
      <c r="AQ15" s="175" t="s">
        <v>230</v>
      </c>
      <c r="AR15" s="173" t="s">
        <v>230</v>
      </c>
      <c r="AS15" s="176" t="s">
        <v>230</v>
      </c>
      <c r="AT15" s="171">
        <v>0.0</v>
      </c>
      <c r="AU15" s="175" t="s">
        <v>230</v>
      </c>
      <c r="AV15" s="173" t="s">
        <v>81</v>
      </c>
      <c r="AW15" s="174" t="s">
        <v>231</v>
      </c>
      <c r="AX15" s="171">
        <v>10.0</v>
      </c>
      <c r="AY15" s="175" t="s">
        <v>230</v>
      </c>
      <c r="AZ15" s="173" t="s">
        <v>230</v>
      </c>
      <c r="BA15" s="176" t="s">
        <v>230</v>
      </c>
      <c r="BB15" s="171">
        <v>0.0</v>
      </c>
      <c r="BC15" s="175" t="s">
        <v>230</v>
      </c>
      <c r="BD15" s="173" t="s">
        <v>230</v>
      </c>
      <c r="BE15" s="176" t="s">
        <v>230</v>
      </c>
      <c r="BF15" s="171">
        <v>0.0</v>
      </c>
      <c r="BG15" s="175" t="s">
        <v>230</v>
      </c>
      <c r="BH15" s="184" t="s">
        <v>67</v>
      </c>
      <c r="BI15" s="178">
        <v>0.4583333333333333</v>
      </c>
      <c r="BJ15" s="179">
        <v>11.0</v>
      </c>
      <c r="BK15" s="172"/>
      <c r="BL15" s="184" t="s">
        <v>67</v>
      </c>
      <c r="BM15" s="178">
        <v>0.4583333333333333</v>
      </c>
      <c r="BN15" s="179">
        <v>11.0</v>
      </c>
      <c r="BO15" s="172"/>
      <c r="BP15" s="184" t="s">
        <v>67</v>
      </c>
      <c r="BQ15" s="178">
        <v>0.4583333333333333</v>
      </c>
      <c r="BR15" s="179">
        <v>11.0</v>
      </c>
      <c r="BS15" s="172"/>
      <c r="BT15" s="184" t="s">
        <v>102</v>
      </c>
      <c r="BU15" s="178">
        <v>0.125</v>
      </c>
      <c r="BV15" s="179">
        <v>3.0</v>
      </c>
      <c r="BW15" s="172"/>
      <c r="BX15" s="173"/>
      <c r="BY15" s="170"/>
      <c r="BZ15" s="171"/>
      <c r="CA15" s="172"/>
      <c r="CB15" s="173"/>
      <c r="CC15" s="170"/>
      <c r="CD15" s="171"/>
      <c r="CE15" s="172"/>
      <c r="CF15" s="173"/>
      <c r="CG15" s="170"/>
      <c r="CH15" s="171"/>
      <c r="CI15" s="172"/>
      <c r="CJ15" s="173"/>
      <c r="CK15" s="170"/>
      <c r="CL15" s="171"/>
      <c r="CM15" s="172"/>
      <c r="CN15" s="173"/>
      <c r="CO15" s="170"/>
      <c r="CP15" s="171"/>
      <c r="CQ15" s="172"/>
      <c r="CR15" s="173"/>
      <c r="CS15" s="170"/>
      <c r="CT15" s="171"/>
      <c r="CU15" s="172"/>
      <c r="CV15" s="173"/>
      <c r="CW15" s="170"/>
      <c r="CX15" s="171"/>
      <c r="CY15" s="172"/>
      <c r="CZ15" s="173"/>
      <c r="DA15" s="170"/>
      <c r="DB15" s="171"/>
      <c r="DC15" s="172"/>
      <c r="DD15" s="173"/>
      <c r="DE15" s="170"/>
      <c r="DF15" s="171"/>
      <c r="DG15" s="172"/>
      <c r="DH15" s="173"/>
      <c r="DI15" s="170"/>
      <c r="DJ15" s="171"/>
      <c r="DK15" s="172"/>
      <c r="DL15" s="173"/>
      <c r="DM15" s="170"/>
      <c r="DN15" s="171"/>
      <c r="DO15" s="172"/>
      <c r="DP15" s="173"/>
      <c r="DQ15" s="170"/>
      <c r="DR15" s="171"/>
      <c r="DS15" s="172"/>
      <c r="DT15" s="173"/>
      <c r="DU15" s="170"/>
      <c r="DV15" s="171"/>
      <c r="DW15" s="172"/>
      <c r="DX15" s="173"/>
      <c r="DY15" s="170"/>
      <c r="DZ15" s="171"/>
      <c r="EA15" s="180"/>
      <c r="EB15" s="3"/>
      <c r="EC15" s="126"/>
      <c r="ED15" s="3"/>
      <c r="EE15" s="3"/>
      <c r="EF15" s="3"/>
      <c r="EG15" s="3"/>
    </row>
    <row r="16" ht="16.5" customHeight="1">
      <c r="A16" s="163" t="str">
        <f>IF(ISERROR(Lenker!A10),"N.N.",Lenker!A10)</f>
        <v>Niederbichler, Daniel</v>
      </c>
      <c r="B16" s="164" t="str">
        <f t="shared" si="1"/>
        <v>80 / 0 / 0</v>
      </c>
      <c r="C16" s="181">
        <f t="shared" ref="C16:C28" si="3">(SUM(I16,M16,Q16,U16,Y16,AC16,AG16,AK16,AO16,AS16,AW16,BA16,BE16,BI16,BM16,BQ16,BU16,BY16,CC16,CG16,CK16,CO16,CS16,CW16,DA16,DE16,DI16,DM16,DQ16,DU16,DY16))+F16</f>
        <v>1.5</v>
      </c>
      <c r="D16" s="166">
        <v>0.0</v>
      </c>
      <c r="E16" s="165" t="s">
        <v>242</v>
      </c>
      <c r="F16" s="182"/>
      <c r="G16" s="183"/>
      <c r="H16" s="173"/>
      <c r="I16" s="170"/>
      <c r="J16" s="171"/>
      <c r="K16" s="172"/>
      <c r="L16" s="173"/>
      <c r="M16" s="170"/>
      <c r="N16" s="171"/>
      <c r="O16" s="172"/>
      <c r="P16" s="173"/>
      <c r="Q16" s="170"/>
      <c r="R16" s="171"/>
      <c r="S16" s="172"/>
      <c r="T16" s="173"/>
      <c r="U16" s="170"/>
      <c r="V16" s="171"/>
      <c r="W16" s="172"/>
      <c r="X16" s="173"/>
      <c r="Y16" s="170"/>
      <c r="Z16" s="171"/>
      <c r="AA16" s="172"/>
      <c r="AB16" s="173"/>
      <c r="AC16" s="170"/>
      <c r="AD16" s="171"/>
      <c r="AE16" s="172"/>
      <c r="AF16" s="173" t="s">
        <v>77</v>
      </c>
      <c r="AG16" s="174" t="s">
        <v>236</v>
      </c>
      <c r="AH16" s="171">
        <v>11.0</v>
      </c>
      <c r="AI16" s="175" t="s">
        <v>230</v>
      </c>
      <c r="AJ16" s="173" t="s">
        <v>77</v>
      </c>
      <c r="AK16" s="174" t="s">
        <v>236</v>
      </c>
      <c r="AL16" s="171">
        <v>11.0</v>
      </c>
      <c r="AM16" s="175" t="s">
        <v>230</v>
      </c>
      <c r="AN16" s="173" t="s">
        <v>77</v>
      </c>
      <c r="AO16" s="174" t="s">
        <v>236</v>
      </c>
      <c r="AP16" s="171">
        <v>11.0</v>
      </c>
      <c r="AQ16" s="175" t="s">
        <v>230</v>
      </c>
      <c r="AR16" s="173" t="s">
        <v>230</v>
      </c>
      <c r="AS16" s="176" t="s">
        <v>230</v>
      </c>
      <c r="AT16" s="171">
        <v>0.0</v>
      </c>
      <c r="AU16" s="175" t="s">
        <v>230</v>
      </c>
      <c r="AV16" s="173" t="s">
        <v>77</v>
      </c>
      <c r="AW16" s="174" t="s">
        <v>236</v>
      </c>
      <c r="AX16" s="171">
        <v>11.0</v>
      </c>
      <c r="AY16" s="175" t="s">
        <v>230</v>
      </c>
      <c r="AZ16" s="173" t="s">
        <v>230</v>
      </c>
      <c r="BA16" s="176" t="s">
        <v>230</v>
      </c>
      <c r="BB16" s="171">
        <v>0.0</v>
      </c>
      <c r="BC16" s="175" t="s">
        <v>230</v>
      </c>
      <c r="BD16" s="173" t="s">
        <v>230</v>
      </c>
      <c r="BE16" s="176" t="s">
        <v>230</v>
      </c>
      <c r="BF16" s="171">
        <v>0.0</v>
      </c>
      <c r="BG16" s="175" t="s">
        <v>230</v>
      </c>
      <c r="BH16" s="184" t="s">
        <v>92</v>
      </c>
      <c r="BI16" s="178">
        <v>0.4583333333333333</v>
      </c>
      <c r="BJ16" s="179">
        <v>11.0</v>
      </c>
      <c r="BK16" s="172"/>
      <c r="BL16" s="184" t="s">
        <v>102</v>
      </c>
      <c r="BM16" s="178">
        <v>0.125</v>
      </c>
      <c r="BN16" s="179">
        <v>3.0</v>
      </c>
      <c r="BO16" s="172"/>
      <c r="BP16" s="173"/>
      <c r="BQ16" s="170"/>
      <c r="BR16" s="171"/>
      <c r="BS16" s="172"/>
      <c r="BT16" s="184" t="s">
        <v>67</v>
      </c>
      <c r="BU16" s="178">
        <v>0.4583333333333333</v>
      </c>
      <c r="BV16" s="179">
        <v>11.0</v>
      </c>
      <c r="BW16" s="172"/>
      <c r="BX16" s="184" t="s">
        <v>95</v>
      </c>
      <c r="BY16" s="178">
        <v>0.4583333333333333</v>
      </c>
      <c r="BZ16" s="179">
        <v>11.0</v>
      </c>
      <c r="CA16" s="172"/>
      <c r="CB16" s="173"/>
      <c r="CC16" s="170"/>
      <c r="CD16" s="171"/>
      <c r="CE16" s="172"/>
      <c r="CF16" s="173"/>
      <c r="CG16" s="170"/>
      <c r="CH16" s="171"/>
      <c r="CI16" s="172"/>
      <c r="CJ16" s="173"/>
      <c r="CK16" s="170"/>
      <c r="CL16" s="171"/>
      <c r="CM16" s="172"/>
      <c r="CN16" s="173"/>
      <c r="CO16" s="170"/>
      <c r="CP16" s="171"/>
      <c r="CQ16" s="172"/>
      <c r="CR16" s="173"/>
      <c r="CS16" s="170"/>
      <c r="CT16" s="171"/>
      <c r="CU16" s="172"/>
      <c r="CV16" s="173"/>
      <c r="CW16" s="170"/>
      <c r="CX16" s="171"/>
      <c r="CY16" s="172"/>
      <c r="CZ16" s="173"/>
      <c r="DA16" s="170"/>
      <c r="DB16" s="171"/>
      <c r="DC16" s="172"/>
      <c r="DD16" s="173"/>
      <c r="DE16" s="170"/>
      <c r="DF16" s="171"/>
      <c r="DG16" s="172"/>
      <c r="DH16" s="173"/>
      <c r="DI16" s="170"/>
      <c r="DJ16" s="171"/>
      <c r="DK16" s="172"/>
      <c r="DL16" s="173"/>
      <c r="DM16" s="170"/>
      <c r="DN16" s="171"/>
      <c r="DO16" s="172"/>
      <c r="DP16" s="173"/>
      <c r="DQ16" s="170"/>
      <c r="DR16" s="171"/>
      <c r="DS16" s="172"/>
      <c r="DT16" s="173"/>
      <c r="DU16" s="170"/>
      <c r="DV16" s="171"/>
      <c r="DW16" s="172"/>
      <c r="DX16" s="173"/>
      <c r="DY16" s="170"/>
      <c r="DZ16" s="171"/>
      <c r="EA16" s="180"/>
      <c r="EB16" s="3"/>
      <c r="EC16" s="126"/>
      <c r="ED16" s="3"/>
      <c r="EE16" s="3"/>
      <c r="EF16" s="3"/>
      <c r="EG16" s="3"/>
    </row>
    <row r="17" ht="16.5" customHeight="1">
      <c r="A17" s="163" t="str">
        <f>IF(ISERROR(Lenker!A11),"N.N.",Lenker!A11)</f>
        <v>Nurikic, Ervin</v>
      </c>
      <c r="B17" s="164" t="str">
        <f t="shared" si="1"/>
        <v>60 / 0 / 0</v>
      </c>
      <c r="C17" s="181">
        <f t="shared" si="3"/>
        <v>1.416666667</v>
      </c>
      <c r="D17" s="166">
        <v>0.0</v>
      </c>
      <c r="E17" s="165" t="s">
        <v>243</v>
      </c>
      <c r="F17" s="182"/>
      <c r="G17" s="183"/>
      <c r="H17" s="173"/>
      <c r="I17" s="170"/>
      <c r="J17" s="171"/>
      <c r="K17" s="172"/>
      <c r="L17" s="173"/>
      <c r="M17" s="170"/>
      <c r="N17" s="171"/>
      <c r="O17" s="172"/>
      <c r="P17" s="173"/>
      <c r="Q17" s="170"/>
      <c r="R17" s="171"/>
      <c r="S17" s="172"/>
      <c r="T17" s="173"/>
      <c r="U17" s="170"/>
      <c r="V17" s="171"/>
      <c r="W17" s="172"/>
      <c r="X17" s="173"/>
      <c r="Y17" s="170"/>
      <c r="Z17" s="171"/>
      <c r="AA17" s="172"/>
      <c r="AB17" s="173"/>
      <c r="AC17" s="170"/>
      <c r="AD17" s="171"/>
      <c r="AE17" s="172"/>
      <c r="AF17" s="173" t="s">
        <v>230</v>
      </c>
      <c r="AG17" s="176" t="s">
        <v>230</v>
      </c>
      <c r="AH17" s="171">
        <v>0.0</v>
      </c>
      <c r="AI17" s="175" t="s">
        <v>230</v>
      </c>
      <c r="AJ17" s="173" t="s">
        <v>102</v>
      </c>
      <c r="AK17" s="174" t="s">
        <v>234</v>
      </c>
      <c r="AL17" s="171">
        <v>3.0</v>
      </c>
      <c r="AM17" s="175" t="s">
        <v>230</v>
      </c>
      <c r="AN17" s="173" t="s">
        <v>230</v>
      </c>
      <c r="AO17" s="176" t="s">
        <v>230</v>
      </c>
      <c r="AP17" s="171">
        <v>0.0</v>
      </c>
      <c r="AQ17" s="175" t="s">
        <v>230</v>
      </c>
      <c r="AR17" s="173" t="s">
        <v>92</v>
      </c>
      <c r="AS17" s="174" t="s">
        <v>236</v>
      </c>
      <c r="AT17" s="171">
        <v>11.0</v>
      </c>
      <c r="AU17" s="175" t="s">
        <v>230</v>
      </c>
      <c r="AV17" s="173" t="s">
        <v>85</v>
      </c>
      <c r="AW17" s="174" t="s">
        <v>240</v>
      </c>
      <c r="AX17" s="171">
        <v>12.0</v>
      </c>
      <c r="AY17" s="175" t="s">
        <v>230</v>
      </c>
      <c r="AZ17" s="173" t="s">
        <v>230</v>
      </c>
      <c r="BA17" s="176" t="s">
        <v>230</v>
      </c>
      <c r="BB17" s="171">
        <v>0.0</v>
      </c>
      <c r="BC17" s="175" t="s">
        <v>230</v>
      </c>
      <c r="BD17" s="173" t="s">
        <v>230</v>
      </c>
      <c r="BE17" s="176" t="s">
        <v>230</v>
      </c>
      <c r="BF17" s="171">
        <v>0.0</v>
      </c>
      <c r="BG17" s="175" t="s">
        <v>230</v>
      </c>
      <c r="BH17" s="184" t="s">
        <v>95</v>
      </c>
      <c r="BI17" s="178">
        <v>0.4583333333333333</v>
      </c>
      <c r="BJ17" s="179">
        <v>11.0</v>
      </c>
      <c r="BK17" s="172"/>
      <c r="BL17" s="173"/>
      <c r="BM17" s="170"/>
      <c r="BN17" s="171"/>
      <c r="BO17" s="172"/>
      <c r="BP17" s="184" t="s">
        <v>77</v>
      </c>
      <c r="BQ17" s="178">
        <v>0.4583333333333333</v>
      </c>
      <c r="BR17" s="179">
        <v>11.0</v>
      </c>
      <c r="BS17" s="172"/>
      <c r="BT17" s="184" t="s">
        <v>73</v>
      </c>
      <c r="BU17" s="178">
        <v>0.5</v>
      </c>
      <c r="BV17" s="179">
        <v>12.0</v>
      </c>
      <c r="BW17" s="172"/>
      <c r="BX17" s="173"/>
      <c r="BY17" s="170"/>
      <c r="BZ17" s="171"/>
      <c r="CA17" s="172"/>
      <c r="CB17" s="173"/>
      <c r="CC17" s="170"/>
      <c r="CD17" s="171"/>
      <c r="CE17" s="172"/>
      <c r="CF17" s="173"/>
      <c r="CG17" s="170"/>
      <c r="CH17" s="171"/>
      <c r="CI17" s="172"/>
      <c r="CJ17" s="173"/>
      <c r="CK17" s="170"/>
      <c r="CL17" s="171"/>
      <c r="CM17" s="172"/>
      <c r="CN17" s="173"/>
      <c r="CO17" s="170"/>
      <c r="CP17" s="171"/>
      <c r="CQ17" s="172"/>
      <c r="CR17" s="173"/>
      <c r="CS17" s="170"/>
      <c r="CT17" s="171"/>
      <c r="CU17" s="172"/>
      <c r="CV17" s="173"/>
      <c r="CW17" s="170"/>
      <c r="CX17" s="171"/>
      <c r="CY17" s="172"/>
      <c r="CZ17" s="173"/>
      <c r="DA17" s="170"/>
      <c r="DB17" s="171"/>
      <c r="DC17" s="172"/>
      <c r="DD17" s="173"/>
      <c r="DE17" s="170"/>
      <c r="DF17" s="171"/>
      <c r="DG17" s="172"/>
      <c r="DH17" s="173"/>
      <c r="DI17" s="170"/>
      <c r="DJ17" s="171"/>
      <c r="DK17" s="172"/>
      <c r="DL17" s="173"/>
      <c r="DM17" s="170"/>
      <c r="DN17" s="171"/>
      <c r="DO17" s="172"/>
      <c r="DP17" s="173"/>
      <c r="DQ17" s="170"/>
      <c r="DR17" s="171"/>
      <c r="DS17" s="172"/>
      <c r="DT17" s="173"/>
      <c r="DU17" s="170"/>
      <c r="DV17" s="171"/>
      <c r="DW17" s="172"/>
      <c r="DX17" s="173"/>
      <c r="DY17" s="170"/>
      <c r="DZ17" s="171"/>
      <c r="EA17" s="180"/>
      <c r="EB17" s="3"/>
      <c r="EC17" s="126"/>
      <c r="ED17" s="3"/>
      <c r="EE17" s="3"/>
      <c r="EF17" s="3"/>
      <c r="EG17" s="3"/>
    </row>
    <row r="18" ht="16.5" customHeight="1">
      <c r="A18" s="163" t="str">
        <f>IF(ISERROR(Lenker!A12),"N.N.",Lenker!A12)</f>
        <v>Obersteiner, Roland</v>
      </c>
      <c r="B18" s="164" t="str">
        <f t="shared" si="1"/>
        <v>54 / 0 / 0</v>
      </c>
      <c r="C18" s="181">
        <f t="shared" si="3"/>
        <v>1.375</v>
      </c>
      <c r="D18" s="166">
        <v>0.0</v>
      </c>
      <c r="E18" s="165" t="s">
        <v>244</v>
      </c>
      <c r="F18" s="182"/>
      <c r="G18" s="183"/>
      <c r="H18" s="173"/>
      <c r="I18" s="170"/>
      <c r="J18" s="171"/>
      <c r="K18" s="172"/>
      <c r="L18" s="173"/>
      <c r="M18" s="170"/>
      <c r="N18" s="171"/>
      <c r="O18" s="172"/>
      <c r="P18" s="173"/>
      <c r="Q18" s="170"/>
      <c r="R18" s="171"/>
      <c r="S18" s="172"/>
      <c r="T18" s="173"/>
      <c r="U18" s="170"/>
      <c r="V18" s="171"/>
      <c r="W18" s="172"/>
      <c r="X18" s="173"/>
      <c r="Y18" s="170"/>
      <c r="Z18" s="171"/>
      <c r="AA18" s="172"/>
      <c r="AB18" s="173"/>
      <c r="AC18" s="170"/>
      <c r="AD18" s="171"/>
      <c r="AE18" s="172"/>
      <c r="AF18" s="173" t="s">
        <v>230</v>
      </c>
      <c r="AG18" s="176" t="s">
        <v>230</v>
      </c>
      <c r="AH18" s="171">
        <v>0.0</v>
      </c>
      <c r="AI18" s="175" t="s">
        <v>230</v>
      </c>
      <c r="AJ18" s="173" t="s">
        <v>230</v>
      </c>
      <c r="AK18" s="176" t="s">
        <v>230</v>
      </c>
      <c r="AL18" s="171">
        <v>0.0</v>
      </c>
      <c r="AM18" s="175" t="s">
        <v>230</v>
      </c>
      <c r="AN18" s="173" t="s">
        <v>89</v>
      </c>
      <c r="AO18" s="174" t="s">
        <v>231</v>
      </c>
      <c r="AP18" s="171">
        <v>10.0</v>
      </c>
      <c r="AQ18" s="175" t="s">
        <v>230</v>
      </c>
      <c r="AR18" s="173" t="s">
        <v>95</v>
      </c>
      <c r="AS18" s="174" t="s">
        <v>236</v>
      </c>
      <c r="AT18" s="171">
        <v>11.0</v>
      </c>
      <c r="AU18" s="175" t="s">
        <v>230</v>
      </c>
      <c r="AV18" s="173" t="s">
        <v>230</v>
      </c>
      <c r="AW18" s="176" t="s">
        <v>230</v>
      </c>
      <c r="AX18" s="171">
        <v>0.0</v>
      </c>
      <c r="AY18" s="175" t="s">
        <v>230</v>
      </c>
      <c r="AZ18" s="173" t="s">
        <v>230</v>
      </c>
      <c r="BA18" s="176" t="s">
        <v>230</v>
      </c>
      <c r="BB18" s="171">
        <v>0.0</v>
      </c>
      <c r="BC18" s="175" t="s">
        <v>230</v>
      </c>
      <c r="BD18" s="173" t="s">
        <v>230</v>
      </c>
      <c r="BE18" s="176" t="s">
        <v>230</v>
      </c>
      <c r="BF18" s="171">
        <v>0.0</v>
      </c>
      <c r="BG18" s="175" t="s">
        <v>230</v>
      </c>
      <c r="BH18" s="184" t="s">
        <v>99</v>
      </c>
      <c r="BI18" s="178">
        <v>0.5</v>
      </c>
      <c r="BJ18" s="179">
        <v>12.0</v>
      </c>
      <c r="BK18" s="172"/>
      <c r="BL18" s="173"/>
      <c r="BM18" s="170"/>
      <c r="BN18" s="171"/>
      <c r="BO18" s="172"/>
      <c r="BP18" s="184" t="s">
        <v>92</v>
      </c>
      <c r="BQ18" s="178">
        <v>0.4583333333333333</v>
      </c>
      <c r="BR18" s="179">
        <v>11.0</v>
      </c>
      <c r="BS18" s="172"/>
      <c r="BT18" s="173"/>
      <c r="BU18" s="170"/>
      <c r="BV18" s="171"/>
      <c r="BW18" s="172"/>
      <c r="BX18" s="184" t="s">
        <v>89</v>
      </c>
      <c r="BY18" s="178">
        <v>0.4166666666666667</v>
      </c>
      <c r="BZ18" s="179">
        <v>10.0</v>
      </c>
      <c r="CA18" s="172"/>
      <c r="CB18" s="173"/>
      <c r="CC18" s="170"/>
      <c r="CD18" s="171"/>
      <c r="CE18" s="172"/>
      <c r="CF18" s="173"/>
      <c r="CG18" s="170"/>
      <c r="CH18" s="171"/>
      <c r="CI18" s="172"/>
      <c r="CJ18" s="173"/>
      <c r="CK18" s="170"/>
      <c r="CL18" s="171"/>
      <c r="CM18" s="172"/>
      <c r="CN18" s="173"/>
      <c r="CO18" s="170"/>
      <c r="CP18" s="171"/>
      <c r="CQ18" s="172"/>
      <c r="CR18" s="173"/>
      <c r="CS18" s="170"/>
      <c r="CT18" s="171"/>
      <c r="CU18" s="172"/>
      <c r="CV18" s="173"/>
      <c r="CW18" s="170"/>
      <c r="CX18" s="171"/>
      <c r="CY18" s="172"/>
      <c r="CZ18" s="173"/>
      <c r="DA18" s="170"/>
      <c r="DB18" s="171"/>
      <c r="DC18" s="172"/>
      <c r="DD18" s="173"/>
      <c r="DE18" s="170"/>
      <c r="DF18" s="171"/>
      <c r="DG18" s="172"/>
      <c r="DH18" s="173"/>
      <c r="DI18" s="170"/>
      <c r="DJ18" s="171"/>
      <c r="DK18" s="172"/>
      <c r="DL18" s="173"/>
      <c r="DM18" s="170"/>
      <c r="DN18" s="171"/>
      <c r="DO18" s="172"/>
      <c r="DP18" s="173"/>
      <c r="DQ18" s="170"/>
      <c r="DR18" s="171"/>
      <c r="DS18" s="172"/>
      <c r="DT18" s="173"/>
      <c r="DU18" s="170"/>
      <c r="DV18" s="171"/>
      <c r="DW18" s="172"/>
      <c r="DX18" s="173"/>
      <c r="DY18" s="170"/>
      <c r="DZ18" s="171"/>
      <c r="EA18" s="180"/>
      <c r="EB18" s="3"/>
      <c r="EC18" s="126"/>
      <c r="ED18" s="3"/>
      <c r="EE18" s="3"/>
      <c r="EF18" s="3"/>
      <c r="EG18" s="3"/>
    </row>
    <row r="19" ht="16.5" customHeight="1">
      <c r="A19" s="163" t="str">
        <f>IF(ISERROR(Lenker!A13),"N.N.",Lenker!A13)</f>
        <v>Rauter, Agnes Zita</v>
      </c>
      <c r="B19" s="164" t="str">
        <f t="shared" si="1"/>
        <v>77 / 0 / 0</v>
      </c>
      <c r="C19" s="181">
        <f t="shared" si="3"/>
        <v>1.208333333</v>
      </c>
      <c r="D19" s="166">
        <v>0.0</v>
      </c>
      <c r="E19" s="165" t="s">
        <v>245</v>
      </c>
      <c r="F19" s="182"/>
      <c r="G19" s="183"/>
      <c r="H19" s="173"/>
      <c r="I19" s="170"/>
      <c r="J19" s="171"/>
      <c r="K19" s="172"/>
      <c r="L19" s="173"/>
      <c r="M19" s="170"/>
      <c r="N19" s="171"/>
      <c r="O19" s="172"/>
      <c r="P19" s="173"/>
      <c r="Q19" s="170"/>
      <c r="R19" s="171"/>
      <c r="S19" s="172"/>
      <c r="T19" s="173"/>
      <c r="U19" s="170"/>
      <c r="V19" s="171"/>
      <c r="W19" s="172"/>
      <c r="X19" s="173"/>
      <c r="Y19" s="170"/>
      <c r="Z19" s="171"/>
      <c r="AA19" s="172"/>
      <c r="AB19" s="173"/>
      <c r="AC19" s="170"/>
      <c r="AD19" s="171"/>
      <c r="AE19" s="172"/>
      <c r="AF19" s="173" t="s">
        <v>73</v>
      </c>
      <c r="AG19" s="174" t="s">
        <v>240</v>
      </c>
      <c r="AH19" s="171">
        <v>12.0</v>
      </c>
      <c r="AI19" s="175" t="s">
        <v>230</v>
      </c>
      <c r="AJ19" s="173" t="s">
        <v>73</v>
      </c>
      <c r="AK19" s="174" t="s">
        <v>240</v>
      </c>
      <c r="AL19" s="171">
        <v>12.0</v>
      </c>
      <c r="AM19" s="175" t="s">
        <v>230</v>
      </c>
      <c r="AN19" s="173" t="s">
        <v>73</v>
      </c>
      <c r="AO19" s="174" t="s">
        <v>240</v>
      </c>
      <c r="AP19" s="171">
        <v>12.0</v>
      </c>
      <c r="AQ19" s="175" t="s">
        <v>230</v>
      </c>
      <c r="AR19" s="173" t="s">
        <v>230</v>
      </c>
      <c r="AS19" s="176" t="s">
        <v>230</v>
      </c>
      <c r="AT19" s="171">
        <v>0.0</v>
      </c>
      <c r="AU19" s="175" t="s">
        <v>230</v>
      </c>
      <c r="AV19" s="173" t="s">
        <v>73</v>
      </c>
      <c r="AW19" s="174" t="s">
        <v>240</v>
      </c>
      <c r="AX19" s="171">
        <v>12.0</v>
      </c>
      <c r="AY19" s="175" t="s">
        <v>230</v>
      </c>
      <c r="AZ19" s="173" t="s">
        <v>230</v>
      </c>
      <c r="BA19" s="176" t="s">
        <v>230</v>
      </c>
      <c r="BB19" s="171">
        <v>0.0</v>
      </c>
      <c r="BC19" s="175" t="s">
        <v>230</v>
      </c>
      <c r="BD19" s="173" t="s">
        <v>230</v>
      </c>
      <c r="BE19" s="176" t="s">
        <v>230</v>
      </c>
      <c r="BF19" s="171">
        <v>0.0</v>
      </c>
      <c r="BG19" s="175" t="s">
        <v>230</v>
      </c>
      <c r="BH19" s="184" t="s">
        <v>102</v>
      </c>
      <c r="BI19" s="178">
        <v>0.125</v>
      </c>
      <c r="BJ19" s="179">
        <v>3.0</v>
      </c>
      <c r="BK19" s="172"/>
      <c r="BL19" s="184" t="s">
        <v>89</v>
      </c>
      <c r="BM19" s="178">
        <v>0.4166666666666667</v>
      </c>
      <c r="BN19" s="179">
        <v>10.0</v>
      </c>
      <c r="BO19" s="172"/>
      <c r="BP19" s="184" t="s">
        <v>102</v>
      </c>
      <c r="BQ19" s="178">
        <v>0.125</v>
      </c>
      <c r="BR19" s="179">
        <v>3.0</v>
      </c>
      <c r="BS19" s="172"/>
      <c r="BT19" s="184" t="s">
        <v>81</v>
      </c>
      <c r="BU19" s="178">
        <v>0.4166666666666667</v>
      </c>
      <c r="BV19" s="179">
        <v>10.0</v>
      </c>
      <c r="BW19" s="172"/>
      <c r="BX19" s="184" t="s">
        <v>102</v>
      </c>
      <c r="BY19" s="178">
        <v>0.125</v>
      </c>
      <c r="BZ19" s="179">
        <v>3.0</v>
      </c>
      <c r="CA19" s="172"/>
      <c r="CB19" s="173"/>
      <c r="CC19" s="170"/>
      <c r="CD19" s="171"/>
      <c r="CE19" s="172"/>
      <c r="CF19" s="173"/>
      <c r="CG19" s="170"/>
      <c r="CH19" s="171"/>
      <c r="CI19" s="172"/>
      <c r="CJ19" s="173"/>
      <c r="CK19" s="170"/>
      <c r="CL19" s="171"/>
      <c r="CM19" s="172"/>
      <c r="CN19" s="173"/>
      <c r="CO19" s="170"/>
      <c r="CP19" s="171"/>
      <c r="CQ19" s="172"/>
      <c r="CR19" s="173"/>
      <c r="CS19" s="170"/>
      <c r="CT19" s="171"/>
      <c r="CU19" s="172"/>
      <c r="CV19" s="173"/>
      <c r="CW19" s="170"/>
      <c r="CX19" s="171"/>
      <c r="CY19" s="172"/>
      <c r="CZ19" s="173"/>
      <c r="DA19" s="170"/>
      <c r="DB19" s="171"/>
      <c r="DC19" s="172"/>
      <c r="DD19" s="173"/>
      <c r="DE19" s="170"/>
      <c r="DF19" s="171"/>
      <c r="DG19" s="172"/>
      <c r="DH19" s="173"/>
      <c r="DI19" s="170"/>
      <c r="DJ19" s="171"/>
      <c r="DK19" s="172"/>
      <c r="DL19" s="173"/>
      <c r="DM19" s="170"/>
      <c r="DN19" s="171"/>
      <c r="DO19" s="172"/>
      <c r="DP19" s="173"/>
      <c r="DQ19" s="170"/>
      <c r="DR19" s="171"/>
      <c r="DS19" s="172"/>
      <c r="DT19" s="173"/>
      <c r="DU19" s="170"/>
      <c r="DV19" s="171"/>
      <c r="DW19" s="172"/>
      <c r="DX19" s="173"/>
      <c r="DY19" s="170"/>
      <c r="DZ19" s="171"/>
      <c r="EA19" s="180"/>
      <c r="EB19" s="3"/>
      <c r="EC19" s="126"/>
      <c r="ED19" s="3"/>
      <c r="EE19" s="3"/>
      <c r="EF19" s="3"/>
      <c r="EG19" s="3"/>
    </row>
    <row r="20" ht="16.5" customHeight="1">
      <c r="A20" s="163" t="str">
        <f>IF(ISERROR(Lenker!A14),"N.N.",Lenker!A14)</f>
        <v>Simon, Otto</v>
      </c>
      <c r="B20" s="164" t="str">
        <f t="shared" si="1"/>
        <v>79 / 0 / 0</v>
      </c>
      <c r="C20" s="181">
        <f t="shared" si="3"/>
        <v>1.458333333</v>
      </c>
      <c r="D20" s="166">
        <v>0.0</v>
      </c>
      <c r="E20" s="165" t="s">
        <v>246</v>
      </c>
      <c r="F20" s="182"/>
      <c r="G20" s="183"/>
      <c r="H20" s="173"/>
      <c r="I20" s="170"/>
      <c r="J20" s="171"/>
      <c r="K20" s="172"/>
      <c r="L20" s="173"/>
      <c r="M20" s="170"/>
      <c r="N20" s="171"/>
      <c r="O20" s="172"/>
      <c r="P20" s="173"/>
      <c r="Q20" s="170"/>
      <c r="R20" s="171"/>
      <c r="S20" s="172"/>
      <c r="T20" s="173"/>
      <c r="U20" s="170"/>
      <c r="V20" s="171"/>
      <c r="W20" s="172"/>
      <c r="X20" s="173"/>
      <c r="Y20" s="170"/>
      <c r="Z20" s="171"/>
      <c r="AA20" s="172"/>
      <c r="AB20" s="173"/>
      <c r="AC20" s="170"/>
      <c r="AD20" s="171"/>
      <c r="AE20" s="172"/>
      <c r="AF20" s="173" t="s">
        <v>92</v>
      </c>
      <c r="AG20" s="174" t="s">
        <v>236</v>
      </c>
      <c r="AH20" s="171">
        <v>11.0</v>
      </c>
      <c r="AI20" s="175" t="s">
        <v>230</v>
      </c>
      <c r="AJ20" s="173" t="s">
        <v>92</v>
      </c>
      <c r="AK20" s="174" t="s">
        <v>236</v>
      </c>
      <c r="AL20" s="171">
        <v>11.0</v>
      </c>
      <c r="AM20" s="175" t="s">
        <v>230</v>
      </c>
      <c r="AN20" s="173" t="s">
        <v>92</v>
      </c>
      <c r="AO20" s="174" t="s">
        <v>236</v>
      </c>
      <c r="AP20" s="171">
        <v>11.0</v>
      </c>
      <c r="AQ20" s="175" t="s">
        <v>230</v>
      </c>
      <c r="AR20" s="173" t="s">
        <v>230</v>
      </c>
      <c r="AS20" s="176" t="s">
        <v>230</v>
      </c>
      <c r="AT20" s="171">
        <v>0.0</v>
      </c>
      <c r="AU20" s="175" t="s">
        <v>230</v>
      </c>
      <c r="AV20" s="173" t="s">
        <v>92</v>
      </c>
      <c r="AW20" s="174" t="s">
        <v>236</v>
      </c>
      <c r="AX20" s="171">
        <v>11.0</v>
      </c>
      <c r="AY20" s="175" t="s">
        <v>230</v>
      </c>
      <c r="AZ20" s="173" t="s">
        <v>230</v>
      </c>
      <c r="BA20" s="176" t="s">
        <v>230</v>
      </c>
      <c r="BB20" s="171">
        <v>0.0</v>
      </c>
      <c r="BC20" s="175" t="s">
        <v>230</v>
      </c>
      <c r="BD20" s="173" t="s">
        <v>230</v>
      </c>
      <c r="BE20" s="176" t="s">
        <v>230</v>
      </c>
      <c r="BF20" s="171">
        <v>0.0</v>
      </c>
      <c r="BG20" s="175" t="s">
        <v>230</v>
      </c>
      <c r="BH20" s="173"/>
      <c r="BI20" s="170"/>
      <c r="BJ20" s="171"/>
      <c r="BK20" s="172"/>
      <c r="BL20" s="184" t="s">
        <v>73</v>
      </c>
      <c r="BM20" s="178">
        <v>0.5</v>
      </c>
      <c r="BN20" s="179">
        <v>12.0</v>
      </c>
      <c r="BO20" s="172"/>
      <c r="BP20" s="184" t="s">
        <v>95</v>
      </c>
      <c r="BQ20" s="178">
        <v>0.4583333333333333</v>
      </c>
      <c r="BR20" s="179">
        <v>11.0</v>
      </c>
      <c r="BS20" s="172"/>
      <c r="BT20" s="173"/>
      <c r="BU20" s="170"/>
      <c r="BV20" s="171"/>
      <c r="BW20" s="172"/>
      <c r="BX20" s="184" t="s">
        <v>73</v>
      </c>
      <c r="BY20" s="178">
        <v>0.5</v>
      </c>
      <c r="BZ20" s="179">
        <v>12.0</v>
      </c>
      <c r="CA20" s="172"/>
      <c r="CB20" s="173"/>
      <c r="CC20" s="170"/>
      <c r="CD20" s="171"/>
      <c r="CE20" s="172"/>
      <c r="CF20" s="173"/>
      <c r="CG20" s="170"/>
      <c r="CH20" s="171"/>
      <c r="CI20" s="172"/>
      <c r="CJ20" s="173"/>
      <c r="CK20" s="170"/>
      <c r="CL20" s="171"/>
      <c r="CM20" s="172"/>
      <c r="CN20" s="173"/>
      <c r="CO20" s="170"/>
      <c r="CP20" s="171"/>
      <c r="CQ20" s="172"/>
      <c r="CR20" s="173"/>
      <c r="CS20" s="170"/>
      <c r="CT20" s="171"/>
      <c r="CU20" s="172"/>
      <c r="CV20" s="173"/>
      <c r="CW20" s="170"/>
      <c r="CX20" s="171"/>
      <c r="CY20" s="172"/>
      <c r="CZ20" s="173"/>
      <c r="DA20" s="170"/>
      <c r="DB20" s="171"/>
      <c r="DC20" s="172"/>
      <c r="DD20" s="173"/>
      <c r="DE20" s="170"/>
      <c r="DF20" s="171"/>
      <c r="DG20" s="172"/>
      <c r="DH20" s="173"/>
      <c r="DI20" s="170"/>
      <c r="DJ20" s="171"/>
      <c r="DK20" s="172"/>
      <c r="DL20" s="173"/>
      <c r="DM20" s="170"/>
      <c r="DN20" s="171"/>
      <c r="DO20" s="172"/>
      <c r="DP20" s="173"/>
      <c r="DQ20" s="170"/>
      <c r="DR20" s="171"/>
      <c r="DS20" s="172"/>
      <c r="DT20" s="173"/>
      <c r="DU20" s="170"/>
      <c r="DV20" s="171"/>
      <c r="DW20" s="172"/>
      <c r="DX20" s="173"/>
      <c r="DY20" s="170"/>
      <c r="DZ20" s="171"/>
      <c r="EA20" s="180"/>
      <c r="EB20" s="3"/>
      <c r="EC20" s="126"/>
      <c r="ED20" s="3"/>
      <c r="EE20" s="3"/>
      <c r="EF20" s="3"/>
      <c r="EG20" s="3"/>
    </row>
    <row r="21" ht="16.5" customHeight="1">
      <c r="A21" s="163" t="str">
        <f>IF(ISERROR(Lenker!A15),"N.N.",Lenker!A15)</f>
        <v>Bandzi, Attila</v>
      </c>
      <c r="B21" s="164" t="str">
        <f t="shared" si="1"/>
        <v>57 / 0 / 0</v>
      </c>
      <c r="C21" s="181">
        <f t="shared" si="3"/>
        <v>1.458333333</v>
      </c>
      <c r="D21" s="166">
        <v>0.0</v>
      </c>
      <c r="E21" s="165" t="s">
        <v>247</v>
      </c>
      <c r="F21" s="182"/>
      <c r="G21" s="183"/>
      <c r="H21" s="173"/>
      <c r="I21" s="170"/>
      <c r="J21" s="171"/>
      <c r="K21" s="172"/>
      <c r="L21" s="173"/>
      <c r="M21" s="170"/>
      <c r="N21" s="171"/>
      <c r="O21" s="172"/>
      <c r="P21" s="173"/>
      <c r="Q21" s="170"/>
      <c r="R21" s="171"/>
      <c r="S21" s="172"/>
      <c r="T21" s="173"/>
      <c r="U21" s="170"/>
      <c r="V21" s="171"/>
      <c r="W21" s="172"/>
      <c r="X21" s="173"/>
      <c r="Y21" s="170"/>
      <c r="Z21" s="171"/>
      <c r="AA21" s="172"/>
      <c r="AB21" s="173"/>
      <c r="AC21" s="170"/>
      <c r="AD21" s="171"/>
      <c r="AE21" s="172"/>
      <c r="AF21" s="173" t="s">
        <v>89</v>
      </c>
      <c r="AG21" s="174" t="s">
        <v>231</v>
      </c>
      <c r="AH21" s="171">
        <v>10.0</v>
      </c>
      <c r="AI21" s="175" t="s">
        <v>230</v>
      </c>
      <c r="AJ21" s="173" t="s">
        <v>230</v>
      </c>
      <c r="AK21" s="176" t="s">
        <v>230</v>
      </c>
      <c r="AL21" s="171">
        <v>0.0</v>
      </c>
      <c r="AM21" s="175" t="s">
        <v>230</v>
      </c>
      <c r="AN21" s="173" t="s">
        <v>230</v>
      </c>
      <c r="AO21" s="176" t="s">
        <v>230</v>
      </c>
      <c r="AP21" s="171">
        <v>0.0</v>
      </c>
      <c r="AQ21" s="175" t="s">
        <v>230</v>
      </c>
      <c r="AR21" s="173" t="s">
        <v>99</v>
      </c>
      <c r="AS21" s="174" t="s">
        <v>240</v>
      </c>
      <c r="AT21" s="171">
        <v>12.0</v>
      </c>
      <c r="AU21" s="175" t="s">
        <v>230</v>
      </c>
      <c r="AV21" s="173" t="s">
        <v>230</v>
      </c>
      <c r="AW21" s="176" t="s">
        <v>230</v>
      </c>
      <c r="AX21" s="171">
        <v>0.0</v>
      </c>
      <c r="AY21" s="175" t="s">
        <v>230</v>
      </c>
      <c r="AZ21" s="173" t="s">
        <v>230</v>
      </c>
      <c r="BA21" s="176" t="s">
        <v>230</v>
      </c>
      <c r="BB21" s="171">
        <v>0.0</v>
      </c>
      <c r="BC21" s="175" t="s">
        <v>230</v>
      </c>
      <c r="BD21" s="173" t="s">
        <v>230</v>
      </c>
      <c r="BE21" s="176" t="s">
        <v>230</v>
      </c>
      <c r="BF21" s="171">
        <v>0.0</v>
      </c>
      <c r="BG21" s="175" t="s">
        <v>230</v>
      </c>
      <c r="BH21" s="184" t="s">
        <v>73</v>
      </c>
      <c r="BI21" s="178">
        <v>0.5</v>
      </c>
      <c r="BJ21" s="179">
        <v>12.0</v>
      </c>
      <c r="BK21" s="172"/>
      <c r="BL21" s="173"/>
      <c r="BM21" s="170"/>
      <c r="BN21" s="171"/>
      <c r="BO21" s="172"/>
      <c r="BP21" s="184" t="s">
        <v>85</v>
      </c>
      <c r="BQ21" s="178">
        <v>0.5</v>
      </c>
      <c r="BR21" s="179">
        <v>12.0</v>
      </c>
      <c r="BS21" s="172"/>
      <c r="BT21" s="173"/>
      <c r="BU21" s="170"/>
      <c r="BV21" s="171"/>
      <c r="BW21" s="172"/>
      <c r="BX21" s="184" t="s">
        <v>77</v>
      </c>
      <c r="BY21" s="178">
        <v>0.4583333333333333</v>
      </c>
      <c r="BZ21" s="179">
        <v>11.0</v>
      </c>
      <c r="CA21" s="172"/>
      <c r="CB21" s="173"/>
      <c r="CC21" s="170"/>
      <c r="CD21" s="171"/>
      <c r="CE21" s="172"/>
      <c r="CF21" s="173"/>
      <c r="CG21" s="170"/>
      <c r="CH21" s="171"/>
      <c r="CI21" s="172"/>
      <c r="CJ21" s="173"/>
      <c r="CK21" s="170"/>
      <c r="CL21" s="171"/>
      <c r="CM21" s="172"/>
      <c r="CN21" s="173"/>
      <c r="CO21" s="170"/>
      <c r="CP21" s="171"/>
      <c r="CQ21" s="172"/>
      <c r="CR21" s="173"/>
      <c r="CS21" s="170"/>
      <c r="CT21" s="171"/>
      <c r="CU21" s="172"/>
      <c r="CV21" s="173"/>
      <c r="CW21" s="170"/>
      <c r="CX21" s="171"/>
      <c r="CY21" s="172"/>
      <c r="CZ21" s="173"/>
      <c r="DA21" s="170"/>
      <c r="DB21" s="171"/>
      <c r="DC21" s="172"/>
      <c r="DD21" s="173"/>
      <c r="DE21" s="170"/>
      <c r="DF21" s="171"/>
      <c r="DG21" s="172"/>
      <c r="DH21" s="173"/>
      <c r="DI21" s="170"/>
      <c r="DJ21" s="171"/>
      <c r="DK21" s="172"/>
      <c r="DL21" s="173"/>
      <c r="DM21" s="170"/>
      <c r="DN21" s="171"/>
      <c r="DO21" s="172"/>
      <c r="DP21" s="173"/>
      <c r="DQ21" s="170"/>
      <c r="DR21" s="171"/>
      <c r="DS21" s="172"/>
      <c r="DT21" s="173"/>
      <c r="DU21" s="170"/>
      <c r="DV21" s="171"/>
      <c r="DW21" s="172"/>
      <c r="DX21" s="173"/>
      <c r="DY21" s="170"/>
      <c r="DZ21" s="171"/>
      <c r="EA21" s="180"/>
      <c r="EB21" s="3"/>
      <c r="EC21" s="126"/>
      <c r="ED21" s="3"/>
      <c r="EE21" s="3"/>
      <c r="EF21" s="3"/>
      <c r="EG21" s="3"/>
    </row>
    <row r="22" ht="16.5" customHeight="1">
      <c r="A22" s="163" t="str">
        <f>IF(ISERROR(Lenker!A16),"N.N.",Lenker!A16)</f>
        <v>Struckl, Stefan</v>
      </c>
      <c r="B22" s="164" t="str">
        <f t="shared" si="1"/>
        <v>76 / 0 / 0</v>
      </c>
      <c r="C22" s="181">
        <f t="shared" si="3"/>
        <v>1.333333333</v>
      </c>
      <c r="D22" s="166">
        <v>0.0</v>
      </c>
      <c r="E22" s="165" t="s">
        <v>237</v>
      </c>
      <c r="F22" s="182"/>
      <c r="G22" s="183"/>
      <c r="H22" s="173"/>
      <c r="I22" s="170"/>
      <c r="J22" s="171"/>
      <c r="K22" s="172"/>
      <c r="L22" s="173"/>
      <c r="M22" s="170"/>
      <c r="N22" s="171"/>
      <c r="O22" s="172"/>
      <c r="P22" s="173"/>
      <c r="Q22" s="170"/>
      <c r="R22" s="171"/>
      <c r="S22" s="172"/>
      <c r="T22" s="173"/>
      <c r="U22" s="170"/>
      <c r="V22" s="171"/>
      <c r="W22" s="172"/>
      <c r="X22" s="173"/>
      <c r="Y22" s="170"/>
      <c r="Z22" s="171"/>
      <c r="AA22" s="172"/>
      <c r="AB22" s="173"/>
      <c r="AC22" s="170"/>
      <c r="AD22" s="171"/>
      <c r="AE22" s="172"/>
      <c r="AF22" s="173" t="s">
        <v>95</v>
      </c>
      <c r="AG22" s="174" t="s">
        <v>236</v>
      </c>
      <c r="AH22" s="171">
        <v>11.0</v>
      </c>
      <c r="AI22" s="175" t="s">
        <v>230</v>
      </c>
      <c r="AJ22" s="173" t="s">
        <v>95</v>
      </c>
      <c r="AK22" s="174" t="s">
        <v>236</v>
      </c>
      <c r="AL22" s="171">
        <v>11.0</v>
      </c>
      <c r="AM22" s="175" t="s">
        <v>230</v>
      </c>
      <c r="AN22" s="173" t="s">
        <v>95</v>
      </c>
      <c r="AO22" s="174" t="s">
        <v>236</v>
      </c>
      <c r="AP22" s="171">
        <v>11.0</v>
      </c>
      <c r="AQ22" s="175" t="s">
        <v>230</v>
      </c>
      <c r="AR22" s="173" t="s">
        <v>230</v>
      </c>
      <c r="AS22" s="176" t="s">
        <v>230</v>
      </c>
      <c r="AT22" s="171">
        <v>0.0</v>
      </c>
      <c r="AU22" s="175" t="s">
        <v>230</v>
      </c>
      <c r="AV22" s="173" t="s">
        <v>95</v>
      </c>
      <c r="AW22" s="174" t="s">
        <v>236</v>
      </c>
      <c r="AX22" s="171">
        <v>11.0</v>
      </c>
      <c r="AY22" s="175" t="s">
        <v>230</v>
      </c>
      <c r="AZ22" s="173" t="s">
        <v>230</v>
      </c>
      <c r="BA22" s="176" t="s">
        <v>230</v>
      </c>
      <c r="BB22" s="171">
        <v>0.0</v>
      </c>
      <c r="BC22" s="175" t="s">
        <v>230</v>
      </c>
      <c r="BD22" s="173" t="s">
        <v>230</v>
      </c>
      <c r="BE22" s="176" t="s">
        <v>230</v>
      </c>
      <c r="BF22" s="171">
        <v>0.0</v>
      </c>
      <c r="BG22" s="175" t="s">
        <v>230</v>
      </c>
      <c r="BH22" s="173"/>
      <c r="BI22" s="170"/>
      <c r="BJ22" s="171"/>
      <c r="BK22" s="172"/>
      <c r="BL22" s="184" t="s">
        <v>77</v>
      </c>
      <c r="BM22" s="178">
        <v>0.4583333333333333</v>
      </c>
      <c r="BN22" s="179">
        <v>11.0</v>
      </c>
      <c r="BO22" s="172"/>
      <c r="BP22" s="184" t="s">
        <v>81</v>
      </c>
      <c r="BQ22" s="178">
        <v>0.4166666666666667</v>
      </c>
      <c r="BR22" s="179">
        <v>10.0</v>
      </c>
      <c r="BS22" s="172"/>
      <c r="BT22" s="184" t="s">
        <v>95</v>
      </c>
      <c r="BU22" s="178">
        <v>0.4583333333333333</v>
      </c>
      <c r="BV22" s="179">
        <v>11.0</v>
      </c>
      <c r="BW22" s="172"/>
      <c r="BX22" s="173"/>
      <c r="BY22" s="170"/>
      <c r="BZ22" s="171"/>
      <c r="CA22" s="172"/>
      <c r="CB22" s="173"/>
      <c r="CC22" s="170"/>
      <c r="CD22" s="171"/>
      <c r="CE22" s="172"/>
      <c r="CF22" s="173"/>
      <c r="CG22" s="170"/>
      <c r="CH22" s="171"/>
      <c r="CI22" s="172"/>
      <c r="CJ22" s="173"/>
      <c r="CK22" s="170"/>
      <c r="CL22" s="171"/>
      <c r="CM22" s="172"/>
      <c r="CN22" s="173"/>
      <c r="CO22" s="170"/>
      <c r="CP22" s="171"/>
      <c r="CQ22" s="172"/>
      <c r="CR22" s="173"/>
      <c r="CS22" s="170"/>
      <c r="CT22" s="171"/>
      <c r="CU22" s="172"/>
      <c r="CV22" s="173"/>
      <c r="CW22" s="170"/>
      <c r="CX22" s="171"/>
      <c r="CY22" s="172"/>
      <c r="CZ22" s="173"/>
      <c r="DA22" s="170"/>
      <c r="DB22" s="171"/>
      <c r="DC22" s="172"/>
      <c r="DD22" s="173"/>
      <c r="DE22" s="170"/>
      <c r="DF22" s="171"/>
      <c r="DG22" s="172"/>
      <c r="DH22" s="173"/>
      <c r="DI22" s="170"/>
      <c r="DJ22" s="171"/>
      <c r="DK22" s="172"/>
      <c r="DL22" s="173"/>
      <c r="DM22" s="170"/>
      <c r="DN22" s="171"/>
      <c r="DO22" s="172"/>
      <c r="DP22" s="173"/>
      <c r="DQ22" s="170"/>
      <c r="DR22" s="171"/>
      <c r="DS22" s="172"/>
      <c r="DT22" s="173"/>
      <c r="DU22" s="170"/>
      <c r="DV22" s="171"/>
      <c r="DW22" s="172"/>
      <c r="DX22" s="173"/>
      <c r="DY22" s="170"/>
      <c r="DZ22" s="171"/>
      <c r="EA22" s="180"/>
      <c r="EB22" s="3"/>
      <c r="EC22" s="126"/>
      <c r="ED22" s="3"/>
      <c r="EE22" s="3"/>
      <c r="EF22" s="3"/>
      <c r="EG22" s="3"/>
    </row>
    <row r="23" ht="16.5" customHeight="1">
      <c r="A23" s="163" t="str">
        <f>IF(ISERROR(Lenker!A17),"N.N.",Lenker!A17)</f>
        <v>Merz, Matthias</v>
      </c>
      <c r="B23" s="164" t="str">
        <f t="shared" si="1"/>
        <v>0 / 0 / 0</v>
      </c>
      <c r="C23" s="181">
        <f t="shared" si="3"/>
        <v>0</v>
      </c>
      <c r="D23" s="166">
        <v>0.0</v>
      </c>
      <c r="E23" s="165" t="s">
        <v>248</v>
      </c>
      <c r="F23" s="182"/>
      <c r="G23" s="183"/>
      <c r="H23" s="173"/>
      <c r="I23" s="170"/>
      <c r="J23" s="171"/>
      <c r="K23" s="172"/>
      <c r="L23" s="173"/>
      <c r="M23" s="170"/>
      <c r="N23" s="171"/>
      <c r="O23" s="172"/>
      <c r="P23" s="173"/>
      <c r="Q23" s="170"/>
      <c r="R23" s="171"/>
      <c r="S23" s="172"/>
      <c r="T23" s="173"/>
      <c r="U23" s="170"/>
      <c r="V23" s="171"/>
      <c r="W23" s="172"/>
      <c r="X23" s="173"/>
      <c r="Y23" s="170"/>
      <c r="Z23" s="171"/>
      <c r="AA23" s="172"/>
      <c r="AB23" s="173"/>
      <c r="AC23" s="170"/>
      <c r="AD23" s="171"/>
      <c r="AE23" s="172"/>
      <c r="AF23" s="173" t="s">
        <v>230</v>
      </c>
      <c r="AG23" s="176" t="s">
        <v>230</v>
      </c>
      <c r="AH23" s="171">
        <v>0.0</v>
      </c>
      <c r="AI23" s="175" t="s">
        <v>230</v>
      </c>
      <c r="AJ23" s="173" t="s">
        <v>230</v>
      </c>
      <c r="AK23" s="176" t="s">
        <v>230</v>
      </c>
      <c r="AL23" s="171">
        <v>0.0</v>
      </c>
      <c r="AM23" s="175" t="s">
        <v>230</v>
      </c>
      <c r="AN23" s="173" t="s">
        <v>230</v>
      </c>
      <c r="AO23" s="176" t="s">
        <v>230</v>
      </c>
      <c r="AP23" s="171">
        <v>0.0</v>
      </c>
      <c r="AQ23" s="175" t="s">
        <v>230</v>
      </c>
      <c r="AR23" s="173" t="s">
        <v>230</v>
      </c>
      <c r="AS23" s="176" t="s">
        <v>230</v>
      </c>
      <c r="AT23" s="171">
        <v>0.0</v>
      </c>
      <c r="AU23" s="175" t="s">
        <v>230</v>
      </c>
      <c r="AV23" s="173" t="s">
        <v>230</v>
      </c>
      <c r="AW23" s="176" t="s">
        <v>230</v>
      </c>
      <c r="AX23" s="171">
        <v>0.0</v>
      </c>
      <c r="AY23" s="175" t="s">
        <v>230</v>
      </c>
      <c r="AZ23" s="173" t="s">
        <v>230</v>
      </c>
      <c r="BA23" s="176" t="s">
        <v>230</v>
      </c>
      <c r="BB23" s="171">
        <v>0.0</v>
      </c>
      <c r="BC23" s="175" t="s">
        <v>230</v>
      </c>
      <c r="BD23" s="173" t="s">
        <v>230</v>
      </c>
      <c r="BE23" s="176" t="s">
        <v>230</v>
      </c>
      <c r="BF23" s="171">
        <v>0.0</v>
      </c>
      <c r="BG23" s="175" t="s">
        <v>230</v>
      </c>
      <c r="BH23" s="173"/>
      <c r="BI23" s="170"/>
      <c r="BJ23" s="171"/>
      <c r="BK23" s="172"/>
      <c r="BL23" s="173"/>
      <c r="BM23" s="170"/>
      <c r="BN23" s="171"/>
      <c r="BO23" s="172"/>
      <c r="BP23" s="173"/>
      <c r="BQ23" s="170"/>
      <c r="BR23" s="171"/>
      <c r="BS23" s="172"/>
      <c r="BT23" s="173"/>
      <c r="BU23" s="170"/>
      <c r="BV23" s="171"/>
      <c r="BW23" s="172"/>
      <c r="BX23" s="173"/>
      <c r="BY23" s="170"/>
      <c r="BZ23" s="171"/>
      <c r="CA23" s="172"/>
      <c r="CB23" s="173"/>
      <c r="CC23" s="170"/>
      <c r="CD23" s="171"/>
      <c r="CE23" s="172"/>
      <c r="CF23" s="173"/>
      <c r="CG23" s="170"/>
      <c r="CH23" s="171"/>
      <c r="CI23" s="172"/>
      <c r="CJ23" s="173"/>
      <c r="CK23" s="170"/>
      <c r="CL23" s="171"/>
      <c r="CM23" s="172"/>
      <c r="CN23" s="173"/>
      <c r="CO23" s="170"/>
      <c r="CP23" s="171"/>
      <c r="CQ23" s="172"/>
      <c r="CR23" s="173"/>
      <c r="CS23" s="170"/>
      <c r="CT23" s="171"/>
      <c r="CU23" s="172"/>
      <c r="CV23" s="173"/>
      <c r="CW23" s="170"/>
      <c r="CX23" s="171"/>
      <c r="CY23" s="172"/>
      <c r="CZ23" s="173"/>
      <c r="DA23" s="170"/>
      <c r="DB23" s="171"/>
      <c r="DC23" s="172"/>
      <c r="DD23" s="173"/>
      <c r="DE23" s="170"/>
      <c r="DF23" s="171"/>
      <c r="DG23" s="172"/>
      <c r="DH23" s="173"/>
      <c r="DI23" s="170"/>
      <c r="DJ23" s="171"/>
      <c r="DK23" s="172"/>
      <c r="DL23" s="173"/>
      <c r="DM23" s="170"/>
      <c r="DN23" s="171"/>
      <c r="DO23" s="172"/>
      <c r="DP23" s="173"/>
      <c r="DQ23" s="170"/>
      <c r="DR23" s="171"/>
      <c r="DS23" s="172"/>
      <c r="DT23" s="173"/>
      <c r="DU23" s="170"/>
      <c r="DV23" s="171"/>
      <c r="DW23" s="172"/>
      <c r="DX23" s="173"/>
      <c r="DY23" s="170"/>
      <c r="DZ23" s="171"/>
      <c r="EA23" s="180"/>
      <c r="EB23" s="3"/>
      <c r="EC23" s="126"/>
      <c r="ED23" s="3"/>
      <c r="EE23" s="3"/>
      <c r="EF23" s="3"/>
      <c r="EG23" s="3"/>
    </row>
    <row r="24" ht="16.5" customHeight="1">
      <c r="A24" s="163" t="str">
        <f>IF(ISERROR(Lenker!A18),"N.N.",Lenker!A18)</f>
        <v>Granitzer, Hermann</v>
      </c>
      <c r="B24" s="164" t="str">
        <f t="shared" si="1"/>
        <v>0 / 0 / 0</v>
      </c>
      <c r="C24" s="181">
        <f t="shared" si="3"/>
        <v>0</v>
      </c>
      <c r="D24" s="166">
        <v>0.0</v>
      </c>
      <c r="E24" s="165" t="s">
        <v>249</v>
      </c>
      <c r="F24" s="182"/>
      <c r="G24" s="183"/>
      <c r="H24" s="173"/>
      <c r="I24" s="170"/>
      <c r="J24" s="171"/>
      <c r="K24" s="172"/>
      <c r="L24" s="173"/>
      <c r="M24" s="170"/>
      <c r="N24" s="171"/>
      <c r="O24" s="172"/>
      <c r="P24" s="173"/>
      <c r="Q24" s="170"/>
      <c r="R24" s="171"/>
      <c r="S24" s="172"/>
      <c r="T24" s="173"/>
      <c r="U24" s="170"/>
      <c r="V24" s="171"/>
      <c r="W24" s="172"/>
      <c r="X24" s="173"/>
      <c r="Y24" s="170"/>
      <c r="Z24" s="171"/>
      <c r="AA24" s="172"/>
      <c r="AB24" s="173"/>
      <c r="AC24" s="170"/>
      <c r="AD24" s="171"/>
      <c r="AE24" s="172"/>
      <c r="AF24" s="173" t="s">
        <v>230</v>
      </c>
      <c r="AG24" s="176" t="s">
        <v>230</v>
      </c>
      <c r="AH24" s="171">
        <v>0.0</v>
      </c>
      <c r="AI24" s="175" t="s">
        <v>230</v>
      </c>
      <c r="AJ24" s="173" t="s">
        <v>230</v>
      </c>
      <c r="AK24" s="176" t="s">
        <v>230</v>
      </c>
      <c r="AL24" s="171">
        <v>0.0</v>
      </c>
      <c r="AM24" s="175" t="s">
        <v>230</v>
      </c>
      <c r="AN24" s="173" t="s">
        <v>230</v>
      </c>
      <c r="AO24" s="176" t="s">
        <v>230</v>
      </c>
      <c r="AP24" s="171">
        <v>0.0</v>
      </c>
      <c r="AQ24" s="175" t="s">
        <v>230</v>
      </c>
      <c r="AR24" s="173" t="s">
        <v>230</v>
      </c>
      <c r="AS24" s="176" t="s">
        <v>230</v>
      </c>
      <c r="AT24" s="171">
        <v>0.0</v>
      </c>
      <c r="AU24" s="175" t="s">
        <v>230</v>
      </c>
      <c r="AV24" s="173" t="s">
        <v>230</v>
      </c>
      <c r="AW24" s="176" t="s">
        <v>230</v>
      </c>
      <c r="AX24" s="171">
        <v>0.0</v>
      </c>
      <c r="AY24" s="175" t="s">
        <v>230</v>
      </c>
      <c r="AZ24" s="173" t="s">
        <v>230</v>
      </c>
      <c r="BA24" s="176" t="s">
        <v>230</v>
      </c>
      <c r="BB24" s="171">
        <v>0.0</v>
      </c>
      <c r="BC24" s="175" t="s">
        <v>230</v>
      </c>
      <c r="BD24" s="173" t="s">
        <v>230</v>
      </c>
      <c r="BE24" s="176" t="s">
        <v>230</v>
      </c>
      <c r="BF24" s="171">
        <v>0.0</v>
      </c>
      <c r="BG24" s="175" t="s">
        <v>230</v>
      </c>
      <c r="BH24" s="173"/>
      <c r="BI24" s="170"/>
      <c r="BJ24" s="171"/>
      <c r="BK24" s="172"/>
      <c r="BL24" s="173"/>
      <c r="BM24" s="170"/>
      <c r="BN24" s="171"/>
      <c r="BO24" s="172"/>
      <c r="BP24" s="173"/>
      <c r="BQ24" s="170"/>
      <c r="BR24" s="171"/>
      <c r="BS24" s="172"/>
      <c r="BT24" s="173"/>
      <c r="BU24" s="170"/>
      <c r="BV24" s="171"/>
      <c r="BW24" s="172"/>
      <c r="BX24" s="173"/>
      <c r="BY24" s="170"/>
      <c r="BZ24" s="171"/>
      <c r="CA24" s="172"/>
      <c r="CB24" s="173"/>
      <c r="CC24" s="170"/>
      <c r="CD24" s="171"/>
      <c r="CE24" s="172"/>
      <c r="CF24" s="173"/>
      <c r="CG24" s="170"/>
      <c r="CH24" s="171"/>
      <c r="CI24" s="172"/>
      <c r="CJ24" s="173"/>
      <c r="CK24" s="170"/>
      <c r="CL24" s="171"/>
      <c r="CM24" s="172"/>
      <c r="CN24" s="173"/>
      <c r="CO24" s="170"/>
      <c r="CP24" s="171"/>
      <c r="CQ24" s="172"/>
      <c r="CR24" s="173"/>
      <c r="CS24" s="170"/>
      <c r="CT24" s="171"/>
      <c r="CU24" s="172"/>
      <c r="CV24" s="173"/>
      <c r="CW24" s="170"/>
      <c r="CX24" s="171"/>
      <c r="CY24" s="172"/>
      <c r="CZ24" s="173"/>
      <c r="DA24" s="170"/>
      <c r="DB24" s="171"/>
      <c r="DC24" s="172"/>
      <c r="DD24" s="173"/>
      <c r="DE24" s="170"/>
      <c r="DF24" s="171"/>
      <c r="DG24" s="172"/>
      <c r="DH24" s="173"/>
      <c r="DI24" s="170"/>
      <c r="DJ24" s="171"/>
      <c r="DK24" s="172"/>
      <c r="DL24" s="173"/>
      <c r="DM24" s="170"/>
      <c r="DN24" s="171"/>
      <c r="DO24" s="172"/>
      <c r="DP24" s="173"/>
      <c r="DQ24" s="170"/>
      <c r="DR24" s="171"/>
      <c r="DS24" s="172"/>
      <c r="DT24" s="173"/>
      <c r="DU24" s="170"/>
      <c r="DV24" s="171"/>
      <c r="DW24" s="172"/>
      <c r="DX24" s="173"/>
      <c r="DY24" s="170"/>
      <c r="DZ24" s="171"/>
      <c r="EA24" s="180"/>
      <c r="EB24" s="3"/>
      <c r="EC24" s="126"/>
      <c r="ED24" s="3"/>
      <c r="EE24" s="3"/>
      <c r="EF24" s="3"/>
      <c r="EG24" s="3"/>
    </row>
    <row r="25" ht="16.5" customHeight="1">
      <c r="A25" s="163" t="str">
        <f>IF(ISERROR(Lenker!A19),"N.N.",Lenker!A19)</f>
        <v>Thamer, Karl</v>
      </c>
      <c r="B25" s="164" t="str">
        <f t="shared" si="1"/>
        <v>81 / 0 / 0</v>
      </c>
      <c r="C25" s="181">
        <f t="shared" si="3"/>
        <v>1.375</v>
      </c>
      <c r="D25" s="166">
        <v>0.0</v>
      </c>
      <c r="E25" s="165" t="s">
        <v>247</v>
      </c>
      <c r="F25" s="182"/>
      <c r="G25" s="183"/>
      <c r="H25" s="173"/>
      <c r="I25" s="170"/>
      <c r="J25" s="171"/>
      <c r="K25" s="172"/>
      <c r="L25" s="173"/>
      <c r="M25" s="170"/>
      <c r="N25" s="171"/>
      <c r="O25" s="172"/>
      <c r="P25" s="173"/>
      <c r="Q25" s="170"/>
      <c r="R25" s="171"/>
      <c r="S25" s="172"/>
      <c r="T25" s="173"/>
      <c r="U25" s="170"/>
      <c r="V25" s="171"/>
      <c r="W25" s="172"/>
      <c r="X25" s="173"/>
      <c r="Y25" s="170"/>
      <c r="Z25" s="171"/>
      <c r="AA25" s="172"/>
      <c r="AB25" s="173"/>
      <c r="AC25" s="170"/>
      <c r="AD25" s="171"/>
      <c r="AE25" s="172"/>
      <c r="AF25" s="173" t="s">
        <v>99</v>
      </c>
      <c r="AG25" s="174" t="s">
        <v>240</v>
      </c>
      <c r="AH25" s="171">
        <v>12.0</v>
      </c>
      <c r="AI25" s="175" t="s">
        <v>230</v>
      </c>
      <c r="AJ25" s="173" t="s">
        <v>99</v>
      </c>
      <c r="AK25" s="174" t="s">
        <v>240</v>
      </c>
      <c r="AL25" s="171">
        <v>12.0</v>
      </c>
      <c r="AM25" s="175" t="s">
        <v>230</v>
      </c>
      <c r="AN25" s="173" t="s">
        <v>99</v>
      </c>
      <c r="AO25" s="174" t="s">
        <v>240</v>
      </c>
      <c r="AP25" s="171">
        <v>12.0</v>
      </c>
      <c r="AQ25" s="175" t="s">
        <v>230</v>
      </c>
      <c r="AR25" s="173" t="s">
        <v>230</v>
      </c>
      <c r="AS25" s="176" t="s">
        <v>230</v>
      </c>
      <c r="AT25" s="171">
        <v>0.0</v>
      </c>
      <c r="AU25" s="175" t="s">
        <v>230</v>
      </c>
      <c r="AV25" s="173" t="s">
        <v>99</v>
      </c>
      <c r="AW25" s="174" t="s">
        <v>240</v>
      </c>
      <c r="AX25" s="171">
        <v>12.0</v>
      </c>
      <c r="AY25" s="175" t="s">
        <v>230</v>
      </c>
      <c r="AZ25" s="173" t="s">
        <v>230</v>
      </c>
      <c r="BA25" s="176" t="s">
        <v>230</v>
      </c>
      <c r="BB25" s="171">
        <v>0.0</v>
      </c>
      <c r="BC25" s="175" t="s">
        <v>230</v>
      </c>
      <c r="BD25" s="173" t="s">
        <v>230</v>
      </c>
      <c r="BE25" s="176" t="s">
        <v>230</v>
      </c>
      <c r="BF25" s="171">
        <v>0.0</v>
      </c>
      <c r="BG25" s="175" t="s">
        <v>230</v>
      </c>
      <c r="BH25" s="173"/>
      <c r="BI25" s="170"/>
      <c r="BJ25" s="171"/>
      <c r="BK25" s="172"/>
      <c r="BL25" s="184" t="s">
        <v>81</v>
      </c>
      <c r="BM25" s="178">
        <v>0.4166666666666667</v>
      </c>
      <c r="BN25" s="179">
        <v>10.0</v>
      </c>
      <c r="BO25" s="172"/>
      <c r="BP25" s="184" t="s">
        <v>73</v>
      </c>
      <c r="BQ25" s="178">
        <v>0.5</v>
      </c>
      <c r="BR25" s="179">
        <v>12.0</v>
      </c>
      <c r="BS25" s="172"/>
      <c r="BT25" s="184" t="s">
        <v>77</v>
      </c>
      <c r="BU25" s="178">
        <v>0.4583333333333333</v>
      </c>
      <c r="BV25" s="179">
        <v>11.0</v>
      </c>
      <c r="BW25" s="172"/>
      <c r="BX25" s="173"/>
      <c r="BY25" s="170"/>
      <c r="BZ25" s="171"/>
      <c r="CA25" s="172"/>
      <c r="CB25" s="173"/>
      <c r="CC25" s="170"/>
      <c r="CD25" s="171"/>
      <c r="CE25" s="172"/>
      <c r="CF25" s="173"/>
      <c r="CG25" s="170"/>
      <c r="CH25" s="171"/>
      <c r="CI25" s="172"/>
      <c r="CJ25" s="173"/>
      <c r="CK25" s="170"/>
      <c r="CL25" s="171"/>
      <c r="CM25" s="172"/>
      <c r="CN25" s="173"/>
      <c r="CO25" s="170"/>
      <c r="CP25" s="171"/>
      <c r="CQ25" s="172"/>
      <c r="CR25" s="173"/>
      <c r="CS25" s="170"/>
      <c r="CT25" s="171"/>
      <c r="CU25" s="172"/>
      <c r="CV25" s="173"/>
      <c r="CW25" s="170"/>
      <c r="CX25" s="171"/>
      <c r="CY25" s="172"/>
      <c r="CZ25" s="173"/>
      <c r="DA25" s="170"/>
      <c r="DB25" s="171"/>
      <c r="DC25" s="172"/>
      <c r="DD25" s="173"/>
      <c r="DE25" s="170"/>
      <c r="DF25" s="171"/>
      <c r="DG25" s="172"/>
      <c r="DH25" s="173"/>
      <c r="DI25" s="170"/>
      <c r="DJ25" s="171"/>
      <c r="DK25" s="172"/>
      <c r="DL25" s="173"/>
      <c r="DM25" s="170"/>
      <c r="DN25" s="171"/>
      <c r="DO25" s="172"/>
      <c r="DP25" s="173"/>
      <c r="DQ25" s="170"/>
      <c r="DR25" s="171"/>
      <c r="DS25" s="172"/>
      <c r="DT25" s="173"/>
      <c r="DU25" s="170"/>
      <c r="DV25" s="171"/>
      <c r="DW25" s="172"/>
      <c r="DX25" s="173"/>
      <c r="DY25" s="170"/>
      <c r="DZ25" s="171"/>
      <c r="EA25" s="180"/>
      <c r="EB25" s="3"/>
      <c r="EC25" s="126"/>
      <c r="ED25" s="3"/>
      <c r="EE25" s="3"/>
      <c r="EF25" s="3"/>
      <c r="EG25" s="3"/>
    </row>
    <row r="26" ht="16.5" customHeight="1">
      <c r="A26" s="163" t="str">
        <f>IF(ISERROR(Lenker!A20),"N.N.",Lenker!A20)</f>
        <v>Sulics, Egon</v>
      </c>
      <c r="B26" s="164" t="str">
        <f t="shared" si="1"/>
        <v>12 / 0 / 0</v>
      </c>
      <c r="C26" s="181">
        <f t="shared" si="3"/>
        <v>0.4423611111</v>
      </c>
      <c r="D26" s="166">
        <v>0.0</v>
      </c>
      <c r="E26" s="165" t="s">
        <v>250</v>
      </c>
      <c r="F26" s="182">
        <v>0.44236111111111115</v>
      </c>
      <c r="G26" s="183"/>
      <c r="H26" s="173"/>
      <c r="I26" s="170"/>
      <c r="J26" s="171"/>
      <c r="K26" s="172"/>
      <c r="L26" s="173"/>
      <c r="M26" s="170"/>
      <c r="N26" s="171"/>
      <c r="O26" s="172"/>
      <c r="P26" s="173"/>
      <c r="Q26" s="170"/>
      <c r="R26" s="171"/>
      <c r="S26" s="172"/>
      <c r="T26" s="173"/>
      <c r="U26" s="170"/>
      <c r="V26" s="171"/>
      <c r="W26" s="172"/>
      <c r="X26" s="173"/>
      <c r="Y26" s="170"/>
      <c r="Z26" s="171"/>
      <c r="AA26" s="172"/>
      <c r="AB26" s="173"/>
      <c r="AC26" s="170"/>
      <c r="AD26" s="171"/>
      <c r="AE26" s="172"/>
      <c r="AF26" s="173" t="s">
        <v>230</v>
      </c>
      <c r="AG26" s="176" t="s">
        <v>230</v>
      </c>
      <c r="AH26" s="171">
        <v>0.0</v>
      </c>
      <c r="AI26" s="175" t="s">
        <v>230</v>
      </c>
      <c r="AJ26" s="173" t="s">
        <v>230</v>
      </c>
      <c r="AK26" s="176" t="s">
        <v>230</v>
      </c>
      <c r="AL26" s="171">
        <v>0.0</v>
      </c>
      <c r="AM26" s="175" t="s">
        <v>230</v>
      </c>
      <c r="AN26" s="173" t="s">
        <v>230</v>
      </c>
      <c r="AO26" s="176" t="s">
        <v>230</v>
      </c>
      <c r="AP26" s="171">
        <v>0.0</v>
      </c>
      <c r="AQ26" s="175" t="s">
        <v>230</v>
      </c>
      <c r="AR26" s="173" t="s">
        <v>85</v>
      </c>
      <c r="AS26" s="174" t="s">
        <v>240</v>
      </c>
      <c r="AT26" s="171">
        <v>12.0</v>
      </c>
      <c r="AU26" s="175" t="s">
        <v>230</v>
      </c>
      <c r="AV26" s="173" t="s">
        <v>230</v>
      </c>
      <c r="AW26" s="176" t="s">
        <v>230</v>
      </c>
      <c r="AX26" s="171">
        <v>0.0</v>
      </c>
      <c r="AY26" s="175" t="s">
        <v>230</v>
      </c>
      <c r="AZ26" s="173" t="s">
        <v>230</v>
      </c>
      <c r="BA26" s="176" t="s">
        <v>230</v>
      </c>
      <c r="BB26" s="171">
        <v>0.0</v>
      </c>
      <c r="BC26" s="175" t="s">
        <v>230</v>
      </c>
      <c r="BD26" s="173" t="s">
        <v>230</v>
      </c>
      <c r="BE26" s="176" t="s">
        <v>230</v>
      </c>
      <c r="BF26" s="171">
        <v>0.0</v>
      </c>
      <c r="BG26" s="175" t="s">
        <v>230</v>
      </c>
      <c r="BH26" s="173"/>
      <c r="BI26" s="170"/>
      <c r="BJ26" s="171"/>
      <c r="BK26" s="172"/>
      <c r="BL26" s="173"/>
      <c r="BM26" s="170"/>
      <c r="BN26" s="171"/>
      <c r="BO26" s="172"/>
      <c r="BP26" s="173"/>
      <c r="BQ26" s="170"/>
      <c r="BR26" s="171"/>
      <c r="BS26" s="172"/>
      <c r="BT26" s="173"/>
      <c r="BU26" s="170"/>
      <c r="BV26" s="171"/>
      <c r="BW26" s="172"/>
      <c r="BX26" s="173"/>
      <c r="BY26" s="170"/>
      <c r="BZ26" s="171"/>
      <c r="CA26" s="172"/>
      <c r="CB26" s="173"/>
      <c r="CC26" s="170"/>
      <c r="CD26" s="171"/>
      <c r="CE26" s="172"/>
      <c r="CF26" s="173"/>
      <c r="CG26" s="170"/>
      <c r="CH26" s="171"/>
      <c r="CI26" s="172"/>
      <c r="CJ26" s="173"/>
      <c r="CK26" s="170"/>
      <c r="CL26" s="171"/>
      <c r="CM26" s="172"/>
      <c r="CN26" s="173"/>
      <c r="CO26" s="170"/>
      <c r="CP26" s="171"/>
      <c r="CQ26" s="172"/>
      <c r="CR26" s="173"/>
      <c r="CS26" s="170"/>
      <c r="CT26" s="171"/>
      <c r="CU26" s="172"/>
      <c r="CV26" s="173"/>
      <c r="CW26" s="170"/>
      <c r="CX26" s="171"/>
      <c r="CY26" s="172"/>
      <c r="CZ26" s="173"/>
      <c r="DA26" s="170"/>
      <c r="DB26" s="171"/>
      <c r="DC26" s="172"/>
      <c r="DD26" s="173"/>
      <c r="DE26" s="170"/>
      <c r="DF26" s="171"/>
      <c r="DG26" s="172"/>
      <c r="DH26" s="173"/>
      <c r="DI26" s="170"/>
      <c r="DJ26" s="171"/>
      <c r="DK26" s="172"/>
      <c r="DL26" s="173"/>
      <c r="DM26" s="170"/>
      <c r="DN26" s="171"/>
      <c r="DO26" s="172"/>
      <c r="DP26" s="173"/>
      <c r="DQ26" s="170"/>
      <c r="DR26" s="171"/>
      <c r="DS26" s="172"/>
      <c r="DT26" s="173"/>
      <c r="DU26" s="170"/>
      <c r="DV26" s="171"/>
      <c r="DW26" s="172"/>
      <c r="DX26" s="173"/>
      <c r="DY26" s="170"/>
      <c r="DZ26" s="171"/>
      <c r="EA26" s="180"/>
      <c r="EB26" s="3"/>
      <c r="EC26" s="126"/>
      <c r="ED26" s="3"/>
      <c r="EE26" s="3"/>
      <c r="EF26" s="3"/>
      <c r="EG26" s="3"/>
    </row>
    <row r="27" ht="16.5" customHeight="1">
      <c r="A27" s="185" t="str">
        <f>IF(ISERROR(Lenker!A21),"N.N.",Lenker!A21)</f>
        <v>Klagenfurt - Fahrer</v>
      </c>
      <c r="B27" s="164" t="str">
        <f t="shared" si="1"/>
        <v>11 / 0 / 0</v>
      </c>
      <c r="C27" s="181">
        <f t="shared" si="3"/>
        <v>0</v>
      </c>
      <c r="D27" s="166">
        <v>0.0</v>
      </c>
      <c r="E27" s="165" t="s">
        <v>249</v>
      </c>
      <c r="F27" s="182"/>
      <c r="G27" s="183"/>
      <c r="H27" s="173"/>
      <c r="I27" s="170"/>
      <c r="J27" s="171"/>
      <c r="K27" s="172"/>
      <c r="L27" s="173"/>
      <c r="M27" s="170"/>
      <c r="N27" s="171"/>
      <c r="O27" s="172"/>
      <c r="P27" s="173"/>
      <c r="Q27" s="170"/>
      <c r="R27" s="171"/>
      <c r="S27" s="172"/>
      <c r="T27" s="173"/>
      <c r="U27" s="170"/>
      <c r="V27" s="171"/>
      <c r="W27" s="172"/>
      <c r="X27" s="173"/>
      <c r="Y27" s="170"/>
      <c r="Z27" s="171"/>
      <c r="AA27" s="172"/>
      <c r="AB27" s="173"/>
      <c r="AC27" s="170"/>
      <c r="AD27" s="171"/>
      <c r="AE27" s="172"/>
      <c r="AF27" s="173" t="s">
        <v>230</v>
      </c>
      <c r="AG27" s="176" t="s">
        <v>230</v>
      </c>
      <c r="AH27" s="171">
        <v>0.0</v>
      </c>
      <c r="AI27" s="175" t="s">
        <v>230</v>
      </c>
      <c r="AJ27" s="173" t="s">
        <v>230</v>
      </c>
      <c r="AK27" s="176" t="s">
        <v>230</v>
      </c>
      <c r="AL27" s="171">
        <v>0.0</v>
      </c>
      <c r="AM27" s="175" t="s">
        <v>230</v>
      </c>
      <c r="AN27" s="173" t="s">
        <v>230</v>
      </c>
      <c r="AO27" s="176" t="s">
        <v>230</v>
      </c>
      <c r="AP27" s="171">
        <v>0.0</v>
      </c>
      <c r="AQ27" s="175" t="s">
        <v>230</v>
      </c>
      <c r="AR27" s="173" t="s">
        <v>77</v>
      </c>
      <c r="AS27" s="174" t="s">
        <v>236</v>
      </c>
      <c r="AT27" s="171">
        <v>11.0</v>
      </c>
      <c r="AU27" s="175" t="s">
        <v>230</v>
      </c>
      <c r="AV27" s="173" t="s">
        <v>230</v>
      </c>
      <c r="AW27" s="176" t="s">
        <v>230</v>
      </c>
      <c r="AX27" s="171">
        <v>0.0</v>
      </c>
      <c r="AY27" s="175" t="s">
        <v>230</v>
      </c>
      <c r="AZ27" s="173" t="s">
        <v>230</v>
      </c>
      <c r="BA27" s="176" t="s">
        <v>230</v>
      </c>
      <c r="BB27" s="171">
        <v>0.0</v>
      </c>
      <c r="BC27" s="175" t="s">
        <v>230</v>
      </c>
      <c r="BD27" s="173" t="s">
        <v>230</v>
      </c>
      <c r="BE27" s="176" t="s">
        <v>230</v>
      </c>
      <c r="BF27" s="171">
        <v>0.0</v>
      </c>
      <c r="BG27" s="175" t="s">
        <v>230</v>
      </c>
      <c r="BH27" s="173"/>
      <c r="BI27" s="170"/>
      <c r="BJ27" s="171"/>
      <c r="BK27" s="172"/>
      <c r="BL27" s="173"/>
      <c r="BM27" s="170"/>
      <c r="BN27" s="171"/>
      <c r="BO27" s="172"/>
      <c r="BP27" s="173"/>
      <c r="BQ27" s="170"/>
      <c r="BR27" s="171"/>
      <c r="BS27" s="172"/>
      <c r="BT27" s="173"/>
      <c r="BU27" s="170"/>
      <c r="BV27" s="171"/>
      <c r="BW27" s="172"/>
      <c r="BX27" s="173"/>
      <c r="BY27" s="170"/>
      <c r="BZ27" s="171"/>
      <c r="CA27" s="172"/>
      <c r="CB27" s="173"/>
      <c r="CC27" s="170"/>
      <c r="CD27" s="171"/>
      <c r="CE27" s="172"/>
      <c r="CF27" s="173"/>
      <c r="CG27" s="170"/>
      <c r="CH27" s="171"/>
      <c r="CI27" s="172"/>
      <c r="CJ27" s="173"/>
      <c r="CK27" s="170"/>
      <c r="CL27" s="171"/>
      <c r="CM27" s="172"/>
      <c r="CN27" s="173"/>
      <c r="CO27" s="170"/>
      <c r="CP27" s="171"/>
      <c r="CQ27" s="172"/>
      <c r="CR27" s="173"/>
      <c r="CS27" s="170"/>
      <c r="CT27" s="171"/>
      <c r="CU27" s="172"/>
      <c r="CV27" s="173"/>
      <c r="CW27" s="170"/>
      <c r="CX27" s="171"/>
      <c r="CY27" s="172"/>
      <c r="CZ27" s="173"/>
      <c r="DA27" s="170"/>
      <c r="DB27" s="171"/>
      <c r="DC27" s="172"/>
      <c r="DD27" s="173"/>
      <c r="DE27" s="170"/>
      <c r="DF27" s="171"/>
      <c r="DG27" s="172"/>
      <c r="DH27" s="173"/>
      <c r="DI27" s="170"/>
      <c r="DJ27" s="171"/>
      <c r="DK27" s="172"/>
      <c r="DL27" s="173"/>
      <c r="DM27" s="170"/>
      <c r="DN27" s="171"/>
      <c r="DO27" s="172"/>
      <c r="DP27" s="173"/>
      <c r="DQ27" s="170"/>
      <c r="DR27" s="171"/>
      <c r="DS27" s="172"/>
      <c r="DT27" s="173"/>
      <c r="DU27" s="170"/>
      <c r="DV27" s="171"/>
      <c r="DW27" s="172"/>
      <c r="DX27" s="173"/>
      <c r="DY27" s="170"/>
      <c r="DZ27" s="171"/>
      <c r="EA27" s="180"/>
      <c r="EB27" s="3"/>
      <c r="EC27" s="126"/>
      <c r="ED27" s="3"/>
      <c r="EE27" s="3"/>
      <c r="EF27" s="3"/>
      <c r="EG27" s="3"/>
    </row>
    <row r="28" ht="16.5" customHeight="1">
      <c r="A28" s="186" t="str">
        <f>IF(ISERROR(Lenker!A22),"N.N.",Lenker!A22)</f>
        <v>Klagenfurt - Samstagsfahrer</v>
      </c>
      <c r="B28" s="187" t="str">
        <f t="shared" si="1"/>
        <v>20 / 0 / 0</v>
      </c>
      <c r="C28" s="188">
        <f t="shared" si="3"/>
        <v>0.4166666667</v>
      </c>
      <c r="D28" s="189">
        <v>0.0</v>
      </c>
      <c r="E28" s="188" t="s">
        <v>249</v>
      </c>
      <c r="F28" s="190"/>
      <c r="G28" s="191"/>
      <c r="H28" s="173"/>
      <c r="I28" s="170"/>
      <c r="J28" s="171"/>
      <c r="K28" s="172"/>
      <c r="L28" s="173"/>
      <c r="M28" s="170"/>
      <c r="N28" s="171"/>
      <c r="O28" s="172"/>
      <c r="P28" s="173"/>
      <c r="Q28" s="170"/>
      <c r="R28" s="171"/>
      <c r="S28" s="172"/>
      <c r="T28" s="173"/>
      <c r="U28" s="170"/>
      <c r="V28" s="171"/>
      <c r="W28" s="172"/>
      <c r="X28" s="173"/>
      <c r="Y28" s="170"/>
      <c r="Z28" s="171"/>
      <c r="AA28" s="172"/>
      <c r="AB28" s="173"/>
      <c r="AC28" s="170"/>
      <c r="AD28" s="171"/>
      <c r="AE28" s="172"/>
      <c r="AF28" s="173" t="s">
        <v>230</v>
      </c>
      <c r="AG28" s="176" t="s">
        <v>230</v>
      </c>
      <c r="AH28" s="171">
        <v>0.0</v>
      </c>
      <c r="AI28" s="175" t="s">
        <v>230</v>
      </c>
      <c r="AJ28" s="173" t="s">
        <v>230</v>
      </c>
      <c r="AK28" s="176" t="s">
        <v>230</v>
      </c>
      <c r="AL28" s="171">
        <v>0.0</v>
      </c>
      <c r="AM28" s="175" t="s">
        <v>230</v>
      </c>
      <c r="AN28" s="173" t="s">
        <v>230</v>
      </c>
      <c r="AO28" s="176" t="s">
        <v>230</v>
      </c>
      <c r="AP28" s="171">
        <v>0.0</v>
      </c>
      <c r="AQ28" s="175" t="s">
        <v>230</v>
      </c>
      <c r="AR28" s="173" t="s">
        <v>230</v>
      </c>
      <c r="AS28" s="176" t="s">
        <v>230</v>
      </c>
      <c r="AT28" s="171">
        <v>0.0</v>
      </c>
      <c r="AU28" s="175" t="s">
        <v>230</v>
      </c>
      <c r="AV28" s="173" t="s">
        <v>230</v>
      </c>
      <c r="AW28" s="176" t="s">
        <v>230</v>
      </c>
      <c r="AX28" s="171">
        <v>0.0</v>
      </c>
      <c r="AY28" s="175" t="s">
        <v>230</v>
      </c>
      <c r="AZ28" s="173" t="s">
        <v>110</v>
      </c>
      <c r="BA28" s="174" t="s">
        <v>231</v>
      </c>
      <c r="BB28" s="171">
        <v>10.0</v>
      </c>
      <c r="BC28" s="175" t="s">
        <v>230</v>
      </c>
      <c r="BD28" s="173" t="s">
        <v>230</v>
      </c>
      <c r="BE28" s="176" t="s">
        <v>230</v>
      </c>
      <c r="BF28" s="171">
        <v>0.0</v>
      </c>
      <c r="BG28" s="175" t="s">
        <v>230</v>
      </c>
      <c r="BH28" s="173"/>
      <c r="BI28" s="170"/>
      <c r="BJ28" s="171"/>
      <c r="BK28" s="172"/>
      <c r="BL28" s="173"/>
      <c r="BM28" s="170"/>
      <c r="BN28" s="171"/>
      <c r="BO28" s="172"/>
      <c r="BP28" s="173"/>
      <c r="BQ28" s="170"/>
      <c r="BR28" s="171"/>
      <c r="BS28" s="172"/>
      <c r="BT28" s="173"/>
      <c r="BU28" s="170"/>
      <c r="BV28" s="171"/>
      <c r="BW28" s="172"/>
      <c r="BX28" s="173"/>
      <c r="BY28" s="170"/>
      <c r="BZ28" s="171"/>
      <c r="CA28" s="172"/>
      <c r="CB28" s="184" t="s">
        <v>110</v>
      </c>
      <c r="CC28" s="178">
        <v>0.4166666666666667</v>
      </c>
      <c r="CD28" s="179">
        <v>10.0</v>
      </c>
      <c r="CE28" s="172"/>
      <c r="CF28" s="173"/>
      <c r="CG28" s="170"/>
      <c r="CH28" s="171"/>
      <c r="CI28" s="172"/>
      <c r="CJ28" s="173"/>
      <c r="CK28" s="170"/>
      <c r="CL28" s="171"/>
      <c r="CM28" s="172"/>
      <c r="CN28" s="173"/>
      <c r="CO28" s="170"/>
      <c r="CP28" s="171"/>
      <c r="CQ28" s="172"/>
      <c r="CR28" s="173"/>
      <c r="CS28" s="170"/>
      <c r="CT28" s="171"/>
      <c r="CU28" s="172"/>
      <c r="CV28" s="173"/>
      <c r="CW28" s="170"/>
      <c r="CX28" s="171"/>
      <c r="CY28" s="172"/>
      <c r="CZ28" s="173"/>
      <c r="DA28" s="170"/>
      <c r="DB28" s="171"/>
      <c r="DC28" s="172"/>
      <c r="DD28" s="173"/>
      <c r="DE28" s="170"/>
      <c r="DF28" s="171"/>
      <c r="DG28" s="172"/>
      <c r="DH28" s="173"/>
      <c r="DI28" s="170"/>
      <c r="DJ28" s="171"/>
      <c r="DK28" s="172"/>
      <c r="DL28" s="173"/>
      <c r="DM28" s="170"/>
      <c r="DN28" s="171"/>
      <c r="DO28" s="172"/>
      <c r="DP28" s="173"/>
      <c r="DQ28" s="170"/>
      <c r="DR28" s="171"/>
      <c r="DS28" s="172"/>
      <c r="DT28" s="173"/>
      <c r="DU28" s="170"/>
      <c r="DV28" s="171"/>
      <c r="DW28" s="172"/>
      <c r="DX28" s="173"/>
      <c r="DY28" s="170"/>
      <c r="DZ28" s="171"/>
      <c r="EA28" s="180"/>
      <c r="EB28" s="3"/>
      <c r="EC28" s="126"/>
      <c r="ED28" s="3"/>
      <c r="EE28" s="3"/>
      <c r="EF28" s="3"/>
      <c r="EG28" s="3"/>
    </row>
    <row r="29" ht="16.5" customHeight="1">
      <c r="A29" s="3"/>
      <c r="B29" s="3"/>
      <c r="C29" s="3"/>
      <c r="D29" s="3"/>
      <c r="E29" s="3"/>
      <c r="F29" s="192" t="s">
        <v>251</v>
      </c>
      <c r="G29" s="193"/>
      <c r="H29" s="194">
        <f>COUNTIF(H8:H28,"&lt;&gt;")</f>
        <v>0</v>
      </c>
      <c r="I29" s="195">
        <f t="shared" ref="I29:J29" si="4">SUM(I8:I28)</f>
        <v>0</v>
      </c>
      <c r="J29" s="196">
        <f t="shared" si="4"/>
        <v>0</v>
      </c>
      <c r="K29" s="197">
        <f>SUM(K11:K28)</f>
        <v>0</v>
      </c>
      <c r="L29" s="194">
        <f>COUNTIF(L8:L28,"&lt;&gt;")</f>
        <v>0</v>
      </c>
      <c r="M29" s="195">
        <f t="shared" ref="M29:N29" si="5">SUM(M8:M28)</f>
        <v>0</v>
      </c>
      <c r="N29" s="196">
        <f t="shared" si="5"/>
        <v>0</v>
      </c>
      <c r="O29" s="197">
        <f>SUM(O11:O28)</f>
        <v>0</v>
      </c>
      <c r="P29" s="194">
        <f>COUNTIF(P8:P28,"&lt;&gt;")</f>
        <v>0</v>
      </c>
      <c r="Q29" s="195">
        <f t="shared" ref="Q29:R29" si="6">SUM(Q8:Q28)</f>
        <v>0</v>
      </c>
      <c r="R29" s="196">
        <f t="shared" si="6"/>
        <v>0</v>
      </c>
      <c r="S29" s="197">
        <f>SUM(S11:S28)</f>
        <v>0</v>
      </c>
      <c r="T29" s="194">
        <f>COUNTIF(T8:T28,"&lt;&gt;")</f>
        <v>0</v>
      </c>
      <c r="U29" s="195">
        <f t="shared" ref="U29:V29" si="7">SUM(U8:U28)</f>
        <v>0</v>
      </c>
      <c r="V29" s="196">
        <f t="shared" si="7"/>
        <v>0</v>
      </c>
      <c r="W29" s="197">
        <f>SUM(W11:W28)</f>
        <v>0</v>
      </c>
      <c r="X29" s="194">
        <f>COUNTIF(X8:X28,"&lt;&gt;")</f>
        <v>0</v>
      </c>
      <c r="Y29" s="195">
        <f t="shared" ref="Y29:Z29" si="8">SUM(Y8:Y28)</f>
        <v>0</v>
      </c>
      <c r="Z29" s="196">
        <f t="shared" si="8"/>
        <v>0</v>
      </c>
      <c r="AA29" s="197">
        <f>SUM(AA11:AA28)</f>
        <v>0</v>
      </c>
      <c r="AB29" s="194">
        <f>COUNTIF(AB8:AB28,"&lt;&gt;")</f>
        <v>0</v>
      </c>
      <c r="AC29" s="195">
        <f t="shared" ref="AC29:AD29" si="9">SUM(AC8:AC28)</f>
        <v>0</v>
      </c>
      <c r="AD29" s="196">
        <f t="shared" si="9"/>
        <v>0</v>
      </c>
      <c r="AE29" s="197">
        <f>SUM(AE11:AE28)</f>
        <v>0</v>
      </c>
      <c r="AF29" s="194">
        <f>COUNTIF(AF8:AF28,"&lt;&gt;")</f>
        <v>21</v>
      </c>
      <c r="AG29" s="195">
        <f t="shared" ref="AG29:AH29" si="10">SUM(AG8:AG28)</f>
        <v>0</v>
      </c>
      <c r="AH29" s="196">
        <f t="shared" si="10"/>
        <v>103</v>
      </c>
      <c r="AI29" s="197">
        <f>SUM(AI11:AI28)</f>
        <v>0</v>
      </c>
      <c r="AJ29" s="194">
        <f>COUNTIF(AJ8:AJ28,"&lt;&gt;")</f>
        <v>21</v>
      </c>
      <c r="AK29" s="195">
        <f t="shared" ref="AK29:AL29" si="11">SUM(AK8:AK28)</f>
        <v>0</v>
      </c>
      <c r="AL29" s="196">
        <f t="shared" si="11"/>
        <v>103</v>
      </c>
      <c r="AM29" s="197">
        <f>SUM(AM11:AM28)</f>
        <v>0</v>
      </c>
      <c r="AN29" s="194">
        <f>COUNTIF(AN8:AN28,"&lt;&gt;")</f>
        <v>21</v>
      </c>
      <c r="AO29" s="195">
        <f t="shared" ref="AO29:AP29" si="12">SUM(AO8:AO28)</f>
        <v>0</v>
      </c>
      <c r="AP29" s="196">
        <f t="shared" si="12"/>
        <v>103</v>
      </c>
      <c r="AQ29" s="197">
        <f>SUM(AQ11:AQ28)</f>
        <v>0</v>
      </c>
      <c r="AR29" s="194">
        <f>COUNTIF(AR8:AR28,"&lt;&gt;")</f>
        <v>21</v>
      </c>
      <c r="AS29" s="195">
        <f t="shared" ref="AS29:AT29" si="13">SUM(AS8:AS28)</f>
        <v>0</v>
      </c>
      <c r="AT29" s="196">
        <f t="shared" si="13"/>
        <v>103</v>
      </c>
      <c r="AU29" s="197">
        <f>SUM(AU11:AU28)</f>
        <v>0</v>
      </c>
      <c r="AV29" s="194">
        <f>COUNTIF(AV8:AV28,"&lt;&gt;")</f>
        <v>21</v>
      </c>
      <c r="AW29" s="195">
        <f t="shared" ref="AW29:AX29" si="14">SUM(AW8:AW28)</f>
        <v>0</v>
      </c>
      <c r="AX29" s="196">
        <f t="shared" si="14"/>
        <v>103</v>
      </c>
      <c r="AY29" s="197">
        <f>SUM(AY11:AY28)</f>
        <v>0</v>
      </c>
      <c r="AZ29" s="194">
        <f>COUNTIF(AZ8:AZ28,"&lt;&gt;")</f>
        <v>21</v>
      </c>
      <c r="BA29" s="195">
        <f t="shared" ref="BA29:BB29" si="15">SUM(BA8:BA28)</f>
        <v>0</v>
      </c>
      <c r="BB29" s="196">
        <f t="shared" si="15"/>
        <v>20</v>
      </c>
      <c r="BC29" s="197">
        <f>SUM(BC11:BC28)</f>
        <v>0</v>
      </c>
      <c r="BD29" s="194">
        <f>COUNTIF(BD8:BD28,"&lt;&gt;")</f>
        <v>21</v>
      </c>
      <c r="BE29" s="195">
        <f t="shared" ref="BE29:BF29" si="16">SUM(BE8:BE28)</f>
        <v>0</v>
      </c>
      <c r="BF29" s="196">
        <f t="shared" si="16"/>
        <v>0</v>
      </c>
      <c r="BG29" s="197">
        <f>SUM(BG11:BG28)</f>
        <v>0</v>
      </c>
      <c r="BH29" s="194">
        <f>COUNTIF(BH8:BH28,"&lt;&gt;")</f>
        <v>11</v>
      </c>
      <c r="BI29" s="195">
        <f t="shared" ref="BI29:BJ29" si="17">SUM(BI8:BI28)</f>
        <v>4.291666667</v>
      </c>
      <c r="BJ29" s="196">
        <f t="shared" si="17"/>
        <v>103</v>
      </c>
      <c r="BK29" s="197">
        <f>SUM(BK11:BK28)</f>
        <v>0</v>
      </c>
      <c r="BL29" s="194">
        <f>COUNTIF(BL8:BL28,"&lt;&gt;")</f>
        <v>11</v>
      </c>
      <c r="BM29" s="195">
        <f t="shared" ref="BM29:BN29" si="18">SUM(BM8:BM28)</f>
        <v>4.291666667</v>
      </c>
      <c r="BN29" s="196">
        <f t="shared" si="18"/>
        <v>103</v>
      </c>
      <c r="BO29" s="197">
        <f>SUM(BO11:BO28)</f>
        <v>0</v>
      </c>
      <c r="BP29" s="194">
        <f>COUNTIF(BP8:BP28,"&lt;&gt;")</f>
        <v>11</v>
      </c>
      <c r="BQ29" s="195">
        <f t="shared" ref="BQ29:BR29" si="19">SUM(BQ8:BQ28)</f>
        <v>4.291666667</v>
      </c>
      <c r="BR29" s="196">
        <f t="shared" si="19"/>
        <v>103</v>
      </c>
      <c r="BS29" s="197">
        <f>SUM(BS11:BS28)</f>
        <v>0</v>
      </c>
      <c r="BT29" s="194">
        <f>COUNTIF(BT9:BT28,"&lt;&gt;")</f>
        <v>10</v>
      </c>
      <c r="BU29" s="195">
        <f t="shared" ref="BU29:BV29" si="20">SUM(BU8:BU28)</f>
        <v>4.291666667</v>
      </c>
      <c r="BV29" s="196">
        <f t="shared" si="20"/>
        <v>103</v>
      </c>
      <c r="BW29" s="197">
        <f>SUM(BW11:BW28)</f>
        <v>0</v>
      </c>
      <c r="BX29" s="194">
        <f>COUNTIF(BX8:BX28,"&lt;&gt;")</f>
        <v>11</v>
      </c>
      <c r="BY29" s="195">
        <f t="shared" ref="BY29:BZ29" si="21">SUM(BY8:BY28)</f>
        <v>4.291666667</v>
      </c>
      <c r="BZ29" s="196">
        <f t="shared" si="21"/>
        <v>103</v>
      </c>
      <c r="CA29" s="197">
        <f>SUM(CA11:CA28)</f>
        <v>0</v>
      </c>
      <c r="CB29" s="194">
        <f>COUNTIF(CB8:CB28,"&lt;&gt;")</f>
        <v>2</v>
      </c>
      <c r="CC29" s="195">
        <f t="shared" ref="CC29:CD29" si="22">SUM(CC8:CC28)</f>
        <v>0.8333333333</v>
      </c>
      <c r="CD29" s="196">
        <f t="shared" si="22"/>
        <v>20</v>
      </c>
      <c r="CE29" s="197">
        <f>SUM(CE11:CE28)</f>
        <v>0</v>
      </c>
      <c r="CF29" s="194">
        <f>COUNTIF(CF8:CF28,"&lt;&gt;")</f>
        <v>0</v>
      </c>
      <c r="CG29" s="195">
        <f t="shared" ref="CG29:CH29" si="23">SUM(CG8:CG28)</f>
        <v>0</v>
      </c>
      <c r="CH29" s="196">
        <f t="shared" si="23"/>
        <v>0</v>
      </c>
      <c r="CI29" s="197">
        <f>SUM(CI11:CI28)</f>
        <v>0</v>
      </c>
      <c r="CJ29" s="194">
        <f>COUNTIF(CJ8:CJ28,"&lt;&gt;")</f>
        <v>0</v>
      </c>
      <c r="CK29" s="195">
        <f t="shared" ref="CK29:CL29" si="24">SUM(CK8:CK28)</f>
        <v>0</v>
      </c>
      <c r="CL29" s="196">
        <f t="shared" si="24"/>
        <v>0</v>
      </c>
      <c r="CM29" s="197">
        <f>SUM(CM11:CM28)</f>
        <v>0</v>
      </c>
      <c r="CN29" s="194">
        <f>COUNTIF(CN8:CN28,"&lt;&gt;")</f>
        <v>0</v>
      </c>
      <c r="CO29" s="195">
        <f t="shared" ref="CO29:CP29" si="25">SUM(CO8:CO28)</f>
        <v>0</v>
      </c>
      <c r="CP29" s="196">
        <f t="shared" si="25"/>
        <v>0</v>
      </c>
      <c r="CQ29" s="197">
        <f>SUM(CQ11:CQ28)</f>
        <v>0</v>
      </c>
      <c r="CR29" s="194">
        <f>COUNTIF(CR8:CR28,"&lt;&gt;")</f>
        <v>0</v>
      </c>
      <c r="CS29" s="195">
        <f t="shared" ref="CS29:CT29" si="26">SUM(CS8:CS28)</f>
        <v>0</v>
      </c>
      <c r="CT29" s="196">
        <f t="shared" si="26"/>
        <v>0</v>
      </c>
      <c r="CU29" s="197">
        <f>SUM(CU11:CU28)</f>
        <v>0</v>
      </c>
      <c r="CV29" s="194">
        <f>COUNTIF(CV8:CV28,"&lt;&gt;")</f>
        <v>0</v>
      </c>
      <c r="CW29" s="195">
        <f t="shared" ref="CW29:CX29" si="27">SUM(CW8:CW28)</f>
        <v>0</v>
      </c>
      <c r="CX29" s="196">
        <f t="shared" si="27"/>
        <v>0</v>
      </c>
      <c r="CY29" s="197">
        <f>SUM(CY11:CY28)</f>
        <v>0</v>
      </c>
      <c r="CZ29" s="194">
        <f>COUNTIF(CZ8:CZ28,"&lt;&gt;")</f>
        <v>0</v>
      </c>
      <c r="DA29" s="195">
        <f t="shared" ref="DA29:DB29" si="28">SUM(DA8:DA28)</f>
        <v>0</v>
      </c>
      <c r="DB29" s="196">
        <f t="shared" si="28"/>
        <v>0</v>
      </c>
      <c r="DC29" s="197">
        <f>SUM(DC11:DC28)</f>
        <v>0</v>
      </c>
      <c r="DD29" s="194">
        <f>COUNTIF(DD8:DD28,"&lt;&gt;")</f>
        <v>0</v>
      </c>
      <c r="DE29" s="195">
        <f t="shared" ref="DE29:DF29" si="29">SUM(DE8:DE28)</f>
        <v>0</v>
      </c>
      <c r="DF29" s="196">
        <f t="shared" si="29"/>
        <v>0</v>
      </c>
      <c r="DG29" s="197">
        <f>SUM(DG11:DG28)</f>
        <v>0</v>
      </c>
      <c r="DH29" s="194">
        <f>COUNTIF(DH8:DH28,"&lt;&gt;")</f>
        <v>0</v>
      </c>
      <c r="DI29" s="195">
        <f t="shared" ref="DI29:DJ29" si="30">SUM(DI8:DI28)</f>
        <v>0</v>
      </c>
      <c r="DJ29" s="196">
        <f t="shared" si="30"/>
        <v>0</v>
      </c>
      <c r="DK29" s="197">
        <f>SUM(DK11:DK28)</f>
        <v>0</v>
      </c>
      <c r="DL29" s="194">
        <f>COUNTIF(DL8:DL28,"&lt;&gt;")</f>
        <v>0</v>
      </c>
      <c r="DM29" s="195">
        <f t="shared" ref="DM29:DN29" si="31">SUM(DM8:DM28)</f>
        <v>0</v>
      </c>
      <c r="DN29" s="196">
        <f t="shared" si="31"/>
        <v>0</v>
      </c>
      <c r="DO29" s="197">
        <f>SUM(DO11:DO28)</f>
        <v>0</v>
      </c>
      <c r="DP29" s="194">
        <f>COUNTIF(DP8:DP28,"&lt;&gt;")</f>
        <v>0</v>
      </c>
      <c r="DQ29" s="195">
        <f t="shared" ref="DQ29:DR29" si="32">SUM(DQ8:DQ28)</f>
        <v>0</v>
      </c>
      <c r="DR29" s="196">
        <f t="shared" si="32"/>
        <v>0</v>
      </c>
      <c r="DS29" s="197">
        <f>SUM(DS11:DS28)</f>
        <v>0</v>
      </c>
      <c r="DT29" s="194">
        <f>COUNTIF(DT8:DT28,"&lt;&gt;")</f>
        <v>0</v>
      </c>
      <c r="DU29" s="195">
        <f t="shared" ref="DU29:DV29" si="33">SUM(DU8:DU28)</f>
        <v>0</v>
      </c>
      <c r="DV29" s="196">
        <f t="shared" si="33"/>
        <v>0</v>
      </c>
      <c r="DW29" s="197">
        <f>SUM(DW11:DW28)</f>
        <v>0</v>
      </c>
      <c r="DX29" s="194">
        <f>COUNTIF(DX8:DX28,"&lt;&gt;")</f>
        <v>0</v>
      </c>
      <c r="DY29" s="195">
        <f t="shared" ref="DY29:DZ29" si="34">SUM(DY8:DY28)</f>
        <v>0</v>
      </c>
      <c r="DZ29" s="196">
        <f t="shared" si="34"/>
        <v>0</v>
      </c>
      <c r="EA29" s="197">
        <f>SUM(EA11:EA28)</f>
        <v>0</v>
      </c>
      <c r="EB29" s="3"/>
      <c r="EC29" s="126"/>
      <c r="ED29" s="3"/>
      <c r="EE29" s="3"/>
      <c r="EF29" s="3"/>
      <c r="EG29" s="3"/>
    </row>
    <row r="30" ht="16.5" customHeight="1">
      <c r="A30" s="198" t="s">
        <v>252</v>
      </c>
      <c r="B30" s="199"/>
      <c r="C30" s="200"/>
      <c r="D30" s="200"/>
      <c r="E30" s="3"/>
      <c r="F30" s="201" t="s">
        <v>253</v>
      </c>
      <c r="G30" s="125"/>
      <c r="H30" s="202">
        <f>IF(H3="ja",(I29-H31-H32-H33-H34-H35-H36)+(Dienste!$C$16-(Dienste!$C$17+Dienste!$C$18)),I29-H31-H32-H33-H34-H35-H36)</f>
        <v>0</v>
      </c>
      <c r="I30" s="124"/>
      <c r="J30" s="124"/>
      <c r="K30" s="125"/>
      <c r="L30" s="202">
        <f>IF(L3="ja",(M29-L31-L32-L33-L34-L35-L36)+(Dienste!$C$16-(Dienste!$C$17+Dienste!$C$18)),M29-L31-L32-L33-L34-L35-L36)</f>
        <v>0</v>
      </c>
      <c r="M30" s="124"/>
      <c r="N30" s="124"/>
      <c r="O30" s="125"/>
      <c r="P30" s="202">
        <f>IF(P3="ja",(Q29-P31-P32-P33-P34-P35-P36)+(Dienste!$C$16-(Dienste!$C$17+Dienste!$C$18)),Q29-P31-P32-P33-P34-P35-P36)</f>
        <v>0</v>
      </c>
      <c r="Q30" s="124"/>
      <c r="R30" s="124"/>
      <c r="S30" s="125"/>
      <c r="T30" s="202">
        <f>IF(T3="ja",(U29-T31-T32-T33-T34-T35-T36)+(Dienste!$C$16-(Dienste!$C$17+Dienste!$C$18)),U29-T31-T32-T33-T34-T35-T36)</f>
        <v>0</v>
      </c>
      <c r="U30" s="124"/>
      <c r="V30" s="124"/>
      <c r="W30" s="125"/>
      <c r="X30" s="202">
        <f>IF(X3="ja",(Y29-X31-X32-X33-X34-X35-X36)+(Dienste!$C$16-(Dienste!$C$17+Dienste!$C$18)),Y29-X31-X32-X33-X34-X35-X36)</f>
        <v>0</v>
      </c>
      <c r="Y30" s="124"/>
      <c r="Z30" s="124"/>
      <c r="AA30" s="125"/>
      <c r="AB30" s="202">
        <f>IF(AB3="ja",(AC29-AB31-AB32-AB33-AB34-AB35-AB36)+(Dienste!$C$16-(Dienste!$C$17+Dienste!$C$18)),AC29-AB31-AB32-AB33-AB34-AB35-AB36)</f>
        <v>0</v>
      </c>
      <c r="AC30" s="124"/>
      <c r="AD30" s="124"/>
      <c r="AE30" s="125"/>
      <c r="AF30" s="202">
        <f>IF(AF3="ja",(AG29-AF31-AF32-AF33-AF34-AF35-AF36)+(Dienste!$C$16-(Dienste!$C$17+Dienste!$C$18)),AG29-AF31-AF32-AF33-AF34-AF35-AF36)</f>
        <v>0</v>
      </c>
      <c r="AG30" s="124"/>
      <c r="AH30" s="124"/>
      <c r="AI30" s="125"/>
      <c r="AJ30" s="202">
        <f>IF(AJ3="ja",(AK29-AJ31-AJ32-AJ33-AJ34-AJ35-AJ36)+(Dienste!$C$16-(Dienste!$C$17+Dienste!$C$18)),AK29-AJ31-AJ32-AJ33-AJ34-AJ35-AJ36)</f>
        <v>0</v>
      </c>
      <c r="AK30" s="124"/>
      <c r="AL30" s="124"/>
      <c r="AM30" s="125"/>
      <c r="AN30" s="202">
        <f>IF(AN3="ja",(AO29-AN31-AN32-AN33-AN34-AN35-AN36)+(Dienste!$C$16-(Dienste!$C$17+Dienste!$C$18)),AO29-AN31-AN32-AN33-AN34-AN35-AN36)</f>
        <v>0</v>
      </c>
      <c r="AO30" s="124"/>
      <c r="AP30" s="124"/>
      <c r="AQ30" s="125"/>
      <c r="AR30" s="202">
        <f>IF(AR3="ja",(AS29-AR31-AR32-AR33-AR34-AR35-AR36)+(Dienste!$C$16-(Dienste!$C$17+Dienste!$C$18)),AS29-AR31-AR32-AR33-AR34-AR35-AR36)</f>
        <v>0</v>
      </c>
      <c r="AS30" s="124"/>
      <c r="AT30" s="124"/>
      <c r="AU30" s="125"/>
      <c r="AV30" s="202">
        <f>IF(AV3="ja",(AW29-AV31-AV32-AV33-AV34-AV35-AV36)+(Dienste!$C$16-(Dienste!$C$17+Dienste!$C$18)),AW29-AV31-AV32-AV33-AV34-AV35-AV36)</f>
        <v>0</v>
      </c>
      <c r="AW30" s="124"/>
      <c r="AX30" s="124"/>
      <c r="AY30" s="125"/>
      <c r="AZ30" s="202">
        <f>IF(AZ3="ja",(BA29-AZ31-AZ32-AZ33-AZ34-AZ35-AZ36)+(Dienste!$C$16-(Dienste!$C$17+Dienste!$C$18)),BA29-AZ31-AZ32-AZ33-AZ34-AZ35-AZ36)</f>
        <v>0</v>
      </c>
      <c r="BA30" s="124"/>
      <c r="BB30" s="124"/>
      <c r="BC30" s="125"/>
      <c r="BD30" s="202">
        <f>IF(BD3="ja",(BE29-BD31-BD32-BD33-BD34-BD35-BD36)+(Dienste!$C$16-(Dienste!$C$17+Dienste!$C$18)),BE29-BD31-BD32-BD33-BD34-BD35-BD36)</f>
        <v>0</v>
      </c>
      <c r="BE30" s="124"/>
      <c r="BF30" s="124"/>
      <c r="BG30" s="125"/>
      <c r="BH30" s="202">
        <f>IF(BH3="ja",(BI29-BH31-BH32-BH33-BH34-BH35-BH36)+(Dienste!$C$16-(Dienste!$C$17+Dienste!$C$18)),BI29-BH31-BH32-BH33-BH34-BH35-BH36)</f>
        <v>3.375</v>
      </c>
      <c r="BI30" s="124"/>
      <c r="BJ30" s="124"/>
      <c r="BK30" s="125"/>
      <c r="BL30" s="202">
        <f>IF(BL3="ja",(BM29-BL31-BL32-BL33-BL34-BL35-BL36)+(Dienste!$C$16-(Dienste!$C$17+Dienste!$C$18)),BM29-BL31-BL32-BL33-BL34-BL35-BL36)</f>
        <v>3.375</v>
      </c>
      <c r="BM30" s="124"/>
      <c r="BN30" s="124"/>
      <c r="BO30" s="125"/>
      <c r="BP30" s="202">
        <f>IF(BP3="ja",(BQ29-BP31-BP32-BP33-BP34-BP35-BP36)+(Dienste!$C$16-(Dienste!$C$17+Dienste!$C$18)),BQ29-BP31-BP32-BP33-BP34-BP35-BP36)</f>
        <v>3.375</v>
      </c>
      <c r="BQ30" s="124"/>
      <c r="BR30" s="124"/>
      <c r="BS30" s="125"/>
      <c r="BT30" s="202">
        <f>IF(BT3="ja",(BU29-BT31-BT32-BT33-BT34-BT35-BT36)+(Dienste!$C$16-(Dienste!$C$17+Dienste!$C$18)),BU29-BT31-BT32-BT33-BT34-BT35-BT36)</f>
        <v>3.375</v>
      </c>
      <c r="BU30" s="124"/>
      <c r="BV30" s="124"/>
      <c r="BW30" s="125"/>
      <c r="BX30" s="202">
        <f>IF(BX3="ja",(BY29-BX31-BX32-BX33-BX34-BX35-BX36)+(Dienste!$C$16-(Dienste!$C$17+Dienste!$C$18)),BY29-BX31-BX32-BX33-BX34-BX35-BX36)</f>
        <v>3.375</v>
      </c>
      <c r="BY30" s="124"/>
      <c r="BZ30" s="124"/>
      <c r="CA30" s="125"/>
      <c r="CB30" s="202">
        <f>IF(CB3="ja",(CC29-CB31-CB32-CB33-CB34-CB35-CB36)+(Dienste!$C$16-(Dienste!$C$17+Dienste!$C$18)),CC29-CB31-CB32-CB33-CB34-CB35-CB36)</f>
        <v>0.8333333333</v>
      </c>
      <c r="CC30" s="124"/>
      <c r="CD30" s="124"/>
      <c r="CE30" s="125"/>
      <c r="CF30" s="202">
        <f>IF(CF3="ja",(CG29-CF31-CF32-CF33-CF34-CF35-CF36)+(Dienste!$C$16-(Dienste!$C$17+Dienste!$C$18)),CG29-CF31-CF32-CF33-CF34-CF35-CF36)</f>
        <v>0</v>
      </c>
      <c r="CG30" s="124"/>
      <c r="CH30" s="124"/>
      <c r="CI30" s="125"/>
      <c r="CJ30" s="202">
        <f>IF(CJ3="ja",(CK29-CJ31-CJ32-CJ33-CJ34-CJ35-CJ36)+(Dienste!$C$16-(Dienste!$C$17+Dienste!$C$18)),CK29-CJ31-CJ32-CJ33-CJ34-CJ35-CJ36)</f>
        <v>0</v>
      </c>
      <c r="CK30" s="124"/>
      <c r="CL30" s="124"/>
      <c r="CM30" s="125"/>
      <c r="CN30" s="202">
        <f>IF(CN3="ja",(CO29-CN31-CN32-CN33-CN34-CN35-CN36)+(Dienste!$C$16-(Dienste!$C$17+Dienste!$C$18)),CO29-CN31-CN32-CN33-CN34-CN35-CN36)</f>
        <v>0</v>
      </c>
      <c r="CO30" s="124"/>
      <c r="CP30" s="124"/>
      <c r="CQ30" s="125"/>
      <c r="CR30" s="202">
        <f>IF(CR3="ja",(CS29-CR31-CR32-CR33-CR34-CR35-CR36)+(Dienste!$C$16-(Dienste!$C$17+Dienste!$C$18)),CS29-CR31-CR32-CR33-CR34-CR35-CR36)</f>
        <v>0</v>
      </c>
      <c r="CS30" s="124"/>
      <c r="CT30" s="124"/>
      <c r="CU30" s="125"/>
      <c r="CV30" s="202">
        <f>IF(CV3="ja",(CW29-CV31-CV32-CV33-CV34-CV35-CV36)+(Dienste!$C$16-(Dienste!$C$17+Dienste!$C$18)),CW29-CV31-CV32-CV33-CV34-CV35-CV36)</f>
        <v>0</v>
      </c>
      <c r="CW30" s="124"/>
      <c r="CX30" s="124"/>
      <c r="CY30" s="125"/>
      <c r="CZ30" s="202">
        <f>IF(CZ3="ja",(DA29-CZ31-CZ32-CZ33-CZ34-CZ35-CZ36)+(Dienste!$C$16-(Dienste!$C$17+Dienste!$C$18)),DA29-CZ31-CZ32-CZ33-CZ34-CZ35-CZ36)</f>
        <v>0</v>
      </c>
      <c r="DA30" s="124"/>
      <c r="DB30" s="124"/>
      <c r="DC30" s="125"/>
      <c r="DD30" s="202">
        <f>IF(DD3="ja",(DE29-DD31-DD32-DD33-DD34-DD35-DD36)+(Dienste!$C$16-(Dienste!$C$17+Dienste!$C$18)),DE29-DD31-DD32-DD33-DD34-DD35-DD36)</f>
        <v>0</v>
      </c>
      <c r="DE30" s="124"/>
      <c r="DF30" s="124"/>
      <c r="DG30" s="125"/>
      <c r="DH30" s="202">
        <f>IF(DH3="ja",(DI29-DH31-DH32-DH33-DH34-DH35-DH36)+(Dienste!$C$16-(Dienste!$C$17+Dienste!$C$18)),DI29-DH31-DH32-DH33-DH34-DH35-DH36)</f>
        <v>0</v>
      </c>
      <c r="DI30" s="124"/>
      <c r="DJ30" s="124"/>
      <c r="DK30" s="125"/>
      <c r="DL30" s="202">
        <f>IF(DL3="ja",(DM29-DL31-DL32-DL33-DL34-DL35-DL36)+(Dienste!$C$16-(Dienste!$C$17+Dienste!$C$18)),DM29-DL31-DL32-DL33-DL34-DL35-DL36)</f>
        <v>0</v>
      </c>
      <c r="DM30" s="124"/>
      <c r="DN30" s="124"/>
      <c r="DO30" s="125"/>
      <c r="DP30" s="202">
        <f>IF(DP3="ja",(DQ29-DP31-DP32-DP33-DP34-DP35-DP36)+(Dienste!$C$16-(Dienste!$C$17+Dienste!$C$18)),DQ29-DP31-DP32-DP33-DP34-DP35-DP36)</f>
        <v>0</v>
      </c>
      <c r="DQ30" s="124"/>
      <c r="DR30" s="124"/>
      <c r="DS30" s="125"/>
      <c r="DT30" s="202">
        <f>IF(DT3="ja",(DU29-DT31-DT32-DT33-DT34-DT35-DT36)+(Dienste!$C$16-(Dienste!$C$17+Dienste!$C$18)),DU29-DT31-DT32-DT33-DT34-DT35-DT36)</f>
        <v>0</v>
      </c>
      <c r="DU30" s="124"/>
      <c r="DV30" s="124"/>
      <c r="DW30" s="125"/>
      <c r="DX30" s="202">
        <f>IF(DX3="ja",(DY29-DX31-DX32-DX33-DX34-DX35-DX36)+(Dienste!$C$16-(Dienste!$C$17+Dienste!$C$18)),DY29-DX31-DX32-DX33-DX34-DX35-DX36)</f>
        <v>0</v>
      </c>
      <c r="DY30" s="124"/>
      <c r="DZ30" s="124"/>
      <c r="EA30" s="125"/>
      <c r="EB30" s="203">
        <f>SUM(H30:EA30)</f>
        <v>17.70833333</v>
      </c>
      <c r="EC30" s="126"/>
      <c r="ED30" s="3"/>
      <c r="EE30" s="3"/>
      <c r="EF30" s="3"/>
      <c r="EG30" s="3"/>
    </row>
    <row r="31" ht="16.5" customHeight="1">
      <c r="A31" s="3" t="s">
        <v>254</v>
      </c>
      <c r="B31" s="126" t="s">
        <v>255</v>
      </c>
      <c r="C31" s="204"/>
      <c r="D31" s="205"/>
      <c r="E31" s="3"/>
      <c r="F31" s="206" t="s">
        <v>256</v>
      </c>
      <c r="G31" s="125"/>
      <c r="H31" s="207">
        <f>SUMIF(H8:I28,"U",I8:I28)</f>
        <v>0</v>
      </c>
      <c r="I31" s="124"/>
      <c r="J31" s="124"/>
      <c r="K31" s="125"/>
      <c r="L31" s="207">
        <f>SUMIF(L8:M28,"U",M8:M28)</f>
        <v>0</v>
      </c>
      <c r="M31" s="124"/>
      <c r="N31" s="124"/>
      <c r="O31" s="125"/>
      <c r="P31" s="207">
        <f>SUMIF(P8:Q28,"U",Q8:Q28)</f>
        <v>0</v>
      </c>
      <c r="Q31" s="124"/>
      <c r="R31" s="124"/>
      <c r="S31" s="125"/>
      <c r="T31" s="207">
        <f>SUMIF(T8:U28,"U",U8:U28)</f>
        <v>0</v>
      </c>
      <c r="U31" s="124"/>
      <c r="V31" s="124"/>
      <c r="W31" s="125"/>
      <c r="X31" s="207">
        <f>SUMIF(X8:Y28,"U",Y8:Y28)</f>
        <v>0</v>
      </c>
      <c r="Y31" s="124"/>
      <c r="Z31" s="124"/>
      <c r="AA31" s="125"/>
      <c r="AB31" s="207">
        <f>SUMIF(AB8:AC28,"U",AC8:AC28)</f>
        <v>0</v>
      </c>
      <c r="AC31" s="124"/>
      <c r="AD31" s="124"/>
      <c r="AE31" s="125"/>
      <c r="AF31" s="207">
        <f>SUMIF(AF8:AG28,"U",AG8:AG28)</f>
        <v>0</v>
      </c>
      <c r="AG31" s="124"/>
      <c r="AH31" s="124"/>
      <c r="AI31" s="125"/>
      <c r="AJ31" s="207">
        <f>SUMIF(AJ8:AK28,"U",AK8:AK28)</f>
        <v>0</v>
      </c>
      <c r="AK31" s="124"/>
      <c r="AL31" s="124"/>
      <c r="AM31" s="125"/>
      <c r="AN31" s="207">
        <f>SUMIF(AN8:AO28,"U",AO8:AO28)</f>
        <v>0</v>
      </c>
      <c r="AO31" s="124"/>
      <c r="AP31" s="124"/>
      <c r="AQ31" s="125"/>
      <c r="AR31" s="207">
        <f>SUMIF(AR8:AS28,"U",AS8:AS28)</f>
        <v>0</v>
      </c>
      <c r="AS31" s="124"/>
      <c r="AT31" s="124"/>
      <c r="AU31" s="125"/>
      <c r="AV31" s="207">
        <f>SUMIF(AV8:AW28,"U",AW8:AW28)</f>
        <v>0</v>
      </c>
      <c r="AW31" s="124"/>
      <c r="AX31" s="124"/>
      <c r="AY31" s="125"/>
      <c r="AZ31" s="207">
        <f>SUMIF(AZ8:BA28,"U",BA8:BA28)</f>
        <v>0</v>
      </c>
      <c r="BA31" s="124"/>
      <c r="BB31" s="124"/>
      <c r="BC31" s="125"/>
      <c r="BD31" s="207">
        <f>SUMIF(BD8:BE28,"U",BE8:BE28)</f>
        <v>0</v>
      </c>
      <c r="BE31" s="124"/>
      <c r="BF31" s="124"/>
      <c r="BG31" s="125"/>
      <c r="BH31" s="207">
        <f>SUMIF(BH8:BI28,"U",BI8:BI28)</f>
        <v>0</v>
      </c>
      <c r="BI31" s="124"/>
      <c r="BJ31" s="124"/>
      <c r="BK31" s="125"/>
      <c r="BL31" s="207">
        <f>SUMIF(BL8:BM28,"U",BM8:BM28)</f>
        <v>0</v>
      </c>
      <c r="BM31" s="124"/>
      <c r="BN31" s="124"/>
      <c r="BO31" s="125"/>
      <c r="BP31" s="207">
        <f>SUMIF(BP8:BQ28,"U",BQ8:BQ28)</f>
        <v>0</v>
      </c>
      <c r="BQ31" s="124"/>
      <c r="BR31" s="124"/>
      <c r="BS31" s="125"/>
      <c r="BT31" s="207">
        <f>SUMIF(BT8:BU28,"U",BU8:BU28)</f>
        <v>0</v>
      </c>
      <c r="BU31" s="124"/>
      <c r="BV31" s="124"/>
      <c r="BW31" s="125"/>
      <c r="BX31" s="207">
        <f>SUMIF(BX8:BY28,"U",BY8:BY28)</f>
        <v>0</v>
      </c>
      <c r="BY31" s="124"/>
      <c r="BZ31" s="124"/>
      <c r="CA31" s="125"/>
      <c r="CB31" s="207">
        <f>SUMIF(CB8:CC28,"U",CC8:CC28)</f>
        <v>0</v>
      </c>
      <c r="CC31" s="124"/>
      <c r="CD31" s="124"/>
      <c r="CE31" s="125"/>
      <c r="CF31" s="207">
        <f>SUMIF(CF8:CG28,"U",CG8:CG28)</f>
        <v>0</v>
      </c>
      <c r="CG31" s="124"/>
      <c r="CH31" s="124"/>
      <c r="CI31" s="125"/>
      <c r="CJ31" s="207">
        <f>SUMIF(CJ8:CK28,"U",CK8:CK28)</f>
        <v>0</v>
      </c>
      <c r="CK31" s="124"/>
      <c r="CL31" s="124"/>
      <c r="CM31" s="125"/>
      <c r="CN31" s="207">
        <f>SUMIF(CN8:CO28,"U",CO8:CO28)</f>
        <v>0</v>
      </c>
      <c r="CO31" s="124"/>
      <c r="CP31" s="124"/>
      <c r="CQ31" s="125"/>
      <c r="CR31" s="207">
        <f>SUMIF(CR8:CS28,"U",CS8:CS28)</f>
        <v>0</v>
      </c>
      <c r="CS31" s="124"/>
      <c r="CT31" s="124"/>
      <c r="CU31" s="125"/>
      <c r="CV31" s="207">
        <f>SUMIF(CV8:CW28,"U",CW8:CW28)</f>
        <v>0</v>
      </c>
      <c r="CW31" s="124"/>
      <c r="CX31" s="124"/>
      <c r="CY31" s="125"/>
      <c r="CZ31" s="207">
        <f>SUMIF(CZ8:DA28,"U",DA8:DA28)</f>
        <v>0</v>
      </c>
      <c r="DA31" s="124"/>
      <c r="DB31" s="124"/>
      <c r="DC31" s="125"/>
      <c r="DD31" s="207">
        <f>SUMIF(DD8:DE28,"U",DE8:DE28)</f>
        <v>0</v>
      </c>
      <c r="DE31" s="124"/>
      <c r="DF31" s="124"/>
      <c r="DG31" s="125"/>
      <c r="DH31" s="207">
        <f>SUMIF(DH8:DI28,"U",DI8:DI28)</f>
        <v>0</v>
      </c>
      <c r="DI31" s="124"/>
      <c r="DJ31" s="124"/>
      <c r="DK31" s="125"/>
      <c r="DL31" s="207">
        <f>SUMIF(DL8:DM28,"U",DM8:DM28)</f>
        <v>0</v>
      </c>
      <c r="DM31" s="124"/>
      <c r="DN31" s="124"/>
      <c r="DO31" s="125"/>
      <c r="DP31" s="207">
        <f>SUMIF(DP8:DQ28,"U",DQ8:DQ28)</f>
        <v>0</v>
      </c>
      <c r="DQ31" s="124"/>
      <c r="DR31" s="124"/>
      <c r="DS31" s="125"/>
      <c r="DT31" s="207">
        <f>SUMIF(DT8:DU28,"U",DU8:DU28)</f>
        <v>0</v>
      </c>
      <c r="DU31" s="124"/>
      <c r="DV31" s="124"/>
      <c r="DW31" s="125"/>
      <c r="DX31" s="207">
        <f>SUMIF(DX8:DY28,"U",DY8:DY28)</f>
        <v>0</v>
      </c>
      <c r="DY31" s="124"/>
      <c r="DZ31" s="124"/>
      <c r="EA31" s="125"/>
      <c r="EB31" s="3"/>
      <c r="EC31" s="126"/>
      <c r="ED31" s="3"/>
      <c r="EE31" s="3"/>
      <c r="EF31" s="3"/>
      <c r="EG31" s="3"/>
    </row>
    <row r="32" ht="16.5" customHeight="1">
      <c r="A32" s="3" t="s">
        <v>257</v>
      </c>
      <c r="B32" s="126" t="s">
        <v>258</v>
      </c>
      <c r="C32" s="204"/>
      <c r="D32" s="204"/>
      <c r="E32" s="3"/>
      <c r="F32" s="206" t="s">
        <v>259</v>
      </c>
      <c r="G32" s="125"/>
      <c r="H32" s="207">
        <f>SUMIF(H8:I28,"SOF",I8:I28)</f>
        <v>0</v>
      </c>
      <c r="I32" s="124"/>
      <c r="J32" s="124"/>
      <c r="K32" s="125"/>
      <c r="L32" s="207">
        <f>SUMIF(L8:M28,"SOF",M8:M28)</f>
        <v>0</v>
      </c>
      <c r="M32" s="124"/>
      <c r="N32" s="124"/>
      <c r="O32" s="125"/>
      <c r="P32" s="207">
        <f>SUMIF(P8:Q28,"SOF",Q8:Q28)</f>
        <v>0</v>
      </c>
      <c r="Q32" s="124"/>
      <c r="R32" s="124"/>
      <c r="S32" s="125"/>
      <c r="T32" s="207">
        <f>SUMIF(T8:U28,"SOF",U8:U28)</f>
        <v>0</v>
      </c>
      <c r="U32" s="124"/>
      <c r="V32" s="124"/>
      <c r="W32" s="125"/>
      <c r="X32" s="207">
        <f>SUMIF(X8:Y28,"SOF",Y8:Y28)</f>
        <v>0</v>
      </c>
      <c r="Y32" s="124"/>
      <c r="Z32" s="124"/>
      <c r="AA32" s="125"/>
      <c r="AB32" s="207">
        <f>SUMIF(AB8:AC28,"SOF",AC8:AC28)</f>
        <v>0</v>
      </c>
      <c r="AC32" s="124"/>
      <c r="AD32" s="124"/>
      <c r="AE32" s="125"/>
      <c r="AF32" s="207">
        <f>SUMIF(AF8:AG28,"SOF",AG8:AG28)</f>
        <v>0</v>
      </c>
      <c r="AG32" s="124"/>
      <c r="AH32" s="124"/>
      <c r="AI32" s="125"/>
      <c r="AJ32" s="207">
        <f>SUMIF(AJ8:AK28,"SOF",AK8:AK28)</f>
        <v>0</v>
      </c>
      <c r="AK32" s="124"/>
      <c r="AL32" s="124"/>
      <c r="AM32" s="125"/>
      <c r="AN32" s="207">
        <f>SUMIF(AN8:AO28,"SOF",AO8:AO28)</f>
        <v>0</v>
      </c>
      <c r="AO32" s="124"/>
      <c r="AP32" s="124"/>
      <c r="AQ32" s="125"/>
      <c r="AR32" s="207">
        <f>SUMIF(AR8:AS28,"SOF",AS8:AS28)</f>
        <v>0</v>
      </c>
      <c r="AS32" s="124"/>
      <c r="AT32" s="124"/>
      <c r="AU32" s="125"/>
      <c r="AV32" s="207">
        <f>SUMIF(AV8:AW28,"SOF",AW8:AW28)</f>
        <v>0</v>
      </c>
      <c r="AW32" s="124"/>
      <c r="AX32" s="124"/>
      <c r="AY32" s="125"/>
      <c r="AZ32" s="207">
        <f>SUMIF(AZ8:BA28,"SOF",BA8:BA28)</f>
        <v>0</v>
      </c>
      <c r="BA32" s="124"/>
      <c r="BB32" s="124"/>
      <c r="BC32" s="125"/>
      <c r="BD32" s="207">
        <f>SUMIF(BD8:BE28,"SOF",BE8:BE28)</f>
        <v>0</v>
      </c>
      <c r="BE32" s="124"/>
      <c r="BF32" s="124"/>
      <c r="BG32" s="125"/>
      <c r="BH32" s="207">
        <f>SUMIF(BH8:BI28,"SOF",BI8:BI28)</f>
        <v>0</v>
      </c>
      <c r="BI32" s="124"/>
      <c r="BJ32" s="124"/>
      <c r="BK32" s="125"/>
      <c r="BL32" s="207">
        <f>SUMIF(BL8:BM28,"SOF",BM8:BM28)</f>
        <v>0</v>
      </c>
      <c r="BM32" s="124"/>
      <c r="BN32" s="124"/>
      <c r="BO32" s="125"/>
      <c r="BP32" s="207">
        <f>SUMIF(BP8:BQ28,"SOF",BQ8:BQ28)</f>
        <v>0</v>
      </c>
      <c r="BQ32" s="124"/>
      <c r="BR32" s="124"/>
      <c r="BS32" s="125"/>
      <c r="BT32" s="207">
        <f>SUMIF(BT8:BU28,"SOF",BU8:BU28)</f>
        <v>0</v>
      </c>
      <c r="BU32" s="124"/>
      <c r="BV32" s="124"/>
      <c r="BW32" s="125"/>
      <c r="BX32" s="207">
        <f>SUMIF(BX8:BY28,"SOF",BY8:BY28)</f>
        <v>0</v>
      </c>
      <c r="BY32" s="124"/>
      <c r="BZ32" s="124"/>
      <c r="CA32" s="125"/>
      <c r="CB32" s="207">
        <f>SUMIF(CB8:CC28,"SOF",CC8:CC28)</f>
        <v>0</v>
      </c>
      <c r="CC32" s="124"/>
      <c r="CD32" s="124"/>
      <c r="CE32" s="125"/>
      <c r="CF32" s="207">
        <f>SUMIF(CF8:CG28,"SOF",CG8:CG28)</f>
        <v>0</v>
      </c>
      <c r="CG32" s="124"/>
      <c r="CH32" s="124"/>
      <c r="CI32" s="125"/>
      <c r="CJ32" s="207">
        <f>SUMIF(CJ8:CK28,"SOF",CK8:CK28)</f>
        <v>0</v>
      </c>
      <c r="CK32" s="124"/>
      <c r="CL32" s="124"/>
      <c r="CM32" s="125"/>
      <c r="CN32" s="207">
        <f>SUMIF(CN8:CO28,"SOF",CO8:CO28)</f>
        <v>0</v>
      </c>
      <c r="CO32" s="124"/>
      <c r="CP32" s="124"/>
      <c r="CQ32" s="125"/>
      <c r="CR32" s="207">
        <f>SUMIF(CR8:CS28,"SOF",CS8:CS28)</f>
        <v>0</v>
      </c>
      <c r="CS32" s="124"/>
      <c r="CT32" s="124"/>
      <c r="CU32" s="125"/>
      <c r="CV32" s="207">
        <f>SUMIF(CV8:CW28,"SOF",CW8:CW28)</f>
        <v>0</v>
      </c>
      <c r="CW32" s="124"/>
      <c r="CX32" s="124"/>
      <c r="CY32" s="125"/>
      <c r="CZ32" s="207">
        <f>SUMIF(CZ8:DA28,"SOF",DA8:DA28)</f>
        <v>0</v>
      </c>
      <c r="DA32" s="124"/>
      <c r="DB32" s="124"/>
      <c r="DC32" s="125"/>
      <c r="DD32" s="207">
        <f>SUMIF(DD8:DE28,"SOF",DE8:DE28)</f>
        <v>0</v>
      </c>
      <c r="DE32" s="124"/>
      <c r="DF32" s="124"/>
      <c r="DG32" s="125"/>
      <c r="DH32" s="207">
        <f>SUMIF(DH8:DI28,"SOF",DI8:DI28)</f>
        <v>0</v>
      </c>
      <c r="DI32" s="124"/>
      <c r="DJ32" s="124"/>
      <c r="DK32" s="125"/>
      <c r="DL32" s="207">
        <f>SUMIF(DL8:DM28,"SOF",DM8:DM28)</f>
        <v>0</v>
      </c>
      <c r="DM32" s="124"/>
      <c r="DN32" s="124"/>
      <c r="DO32" s="125"/>
      <c r="DP32" s="207">
        <f>SUMIF(DP8:DQ28,"SOF",DQ8:DQ28)</f>
        <v>0</v>
      </c>
      <c r="DQ32" s="124"/>
      <c r="DR32" s="124"/>
      <c r="DS32" s="125"/>
      <c r="DT32" s="207">
        <f>SUMIF(DT8:DU28,"SOF",DU8:DU28)</f>
        <v>0</v>
      </c>
      <c r="DU32" s="124"/>
      <c r="DV32" s="124"/>
      <c r="DW32" s="125"/>
      <c r="DX32" s="207">
        <f>SUMIF(DX8:DY28,"SOF",DY8:DY28)</f>
        <v>0</v>
      </c>
      <c r="DY32" s="124"/>
      <c r="DZ32" s="124"/>
      <c r="EA32" s="125"/>
      <c r="EB32" s="3"/>
      <c r="EC32" s="126"/>
      <c r="ED32" s="3"/>
      <c r="EE32" s="3"/>
      <c r="EF32" s="3"/>
      <c r="EG32" s="3"/>
    </row>
    <row r="33" ht="16.5" customHeight="1">
      <c r="A33" s="3" t="s">
        <v>260</v>
      </c>
      <c r="B33" s="126" t="s">
        <v>261</v>
      </c>
      <c r="C33" s="204"/>
      <c r="D33" s="208"/>
      <c r="E33" s="3"/>
      <c r="F33" s="206" t="s">
        <v>262</v>
      </c>
      <c r="G33" s="125"/>
      <c r="H33" s="207">
        <f>SUMIF(H8:I28,"DI",I8:I28)</f>
        <v>0</v>
      </c>
      <c r="I33" s="124"/>
      <c r="J33" s="124"/>
      <c r="K33" s="125"/>
      <c r="L33" s="207">
        <f>SUMIF(L8:M28,"DI",M8:M28)</f>
        <v>0</v>
      </c>
      <c r="M33" s="124"/>
      <c r="N33" s="124"/>
      <c r="O33" s="125"/>
      <c r="P33" s="207">
        <f>SUMIF(P8:Q28,"DI",Q8:Q28)</f>
        <v>0</v>
      </c>
      <c r="Q33" s="124"/>
      <c r="R33" s="124"/>
      <c r="S33" s="125"/>
      <c r="T33" s="207">
        <f>SUMIF(T8:U28,"DI",U8:U28)</f>
        <v>0</v>
      </c>
      <c r="U33" s="124"/>
      <c r="V33" s="124"/>
      <c r="W33" s="125"/>
      <c r="X33" s="207">
        <f>SUMIF(X8:Y28,"DI",Y8:Y28)</f>
        <v>0</v>
      </c>
      <c r="Y33" s="124"/>
      <c r="Z33" s="124"/>
      <c r="AA33" s="125"/>
      <c r="AB33" s="207">
        <f>SUMIF(AB8:AC28,"DI",AC8:AC28)</f>
        <v>0</v>
      </c>
      <c r="AC33" s="124"/>
      <c r="AD33" s="124"/>
      <c r="AE33" s="125"/>
      <c r="AF33" s="207">
        <f>SUMIF(AF8:AG28,"DI",AG8:AG28)</f>
        <v>0</v>
      </c>
      <c r="AG33" s="124"/>
      <c r="AH33" s="124"/>
      <c r="AI33" s="125"/>
      <c r="AJ33" s="207">
        <f>SUMIF(AJ8:AK28,"DI",AK8:AK28)</f>
        <v>0</v>
      </c>
      <c r="AK33" s="124"/>
      <c r="AL33" s="124"/>
      <c r="AM33" s="125"/>
      <c r="AN33" s="207">
        <f>SUMIF(AN8:AO28,"DI",AO8:AO28)</f>
        <v>0</v>
      </c>
      <c r="AO33" s="124"/>
      <c r="AP33" s="124"/>
      <c r="AQ33" s="125"/>
      <c r="AR33" s="207">
        <f>SUMIF(AR8:AS28,"DI",AS8:AS28)</f>
        <v>0</v>
      </c>
      <c r="AS33" s="124"/>
      <c r="AT33" s="124"/>
      <c r="AU33" s="125"/>
      <c r="AV33" s="207">
        <f>SUMIF(AV8:AW28,"DI",AW8:AW28)</f>
        <v>0</v>
      </c>
      <c r="AW33" s="124"/>
      <c r="AX33" s="124"/>
      <c r="AY33" s="125"/>
      <c r="AZ33" s="207">
        <f>SUMIF(AZ8:BA28,"DI",BA8:BA28)</f>
        <v>0</v>
      </c>
      <c r="BA33" s="124"/>
      <c r="BB33" s="124"/>
      <c r="BC33" s="125"/>
      <c r="BD33" s="207">
        <f>SUMIF(BD8:BE28,"DI",BE8:BE28)</f>
        <v>0</v>
      </c>
      <c r="BE33" s="124"/>
      <c r="BF33" s="124"/>
      <c r="BG33" s="125"/>
      <c r="BH33" s="207">
        <f>SUMIF(BH8:BI28,"DI",BI8:BI28)</f>
        <v>0</v>
      </c>
      <c r="BI33" s="124"/>
      <c r="BJ33" s="124"/>
      <c r="BK33" s="125"/>
      <c r="BL33" s="207">
        <f>SUMIF(BL8:BM28,"DI",BM8:BM28)</f>
        <v>0</v>
      </c>
      <c r="BM33" s="124"/>
      <c r="BN33" s="124"/>
      <c r="BO33" s="125"/>
      <c r="BP33" s="207">
        <f>SUMIF(BP8:BQ28,"DI",BQ8:BQ28)</f>
        <v>0</v>
      </c>
      <c r="BQ33" s="124"/>
      <c r="BR33" s="124"/>
      <c r="BS33" s="125"/>
      <c r="BT33" s="207">
        <f>SUMIF(BT8:BU28,"DI",BU8:BU28)</f>
        <v>0</v>
      </c>
      <c r="BU33" s="124"/>
      <c r="BV33" s="124"/>
      <c r="BW33" s="125"/>
      <c r="BX33" s="207">
        <f>SUMIF(BX8:BY28,"DI",BY8:BY28)</f>
        <v>0</v>
      </c>
      <c r="BY33" s="124"/>
      <c r="BZ33" s="124"/>
      <c r="CA33" s="125"/>
      <c r="CB33" s="207">
        <f>SUMIF(CB8:CC28,"DI",CC8:CC28)</f>
        <v>0</v>
      </c>
      <c r="CC33" s="124"/>
      <c r="CD33" s="124"/>
      <c r="CE33" s="125"/>
      <c r="CF33" s="207">
        <f>SUMIF(CF8:CG28,"DI",CG8:CG28)</f>
        <v>0</v>
      </c>
      <c r="CG33" s="124"/>
      <c r="CH33" s="124"/>
      <c r="CI33" s="125"/>
      <c r="CJ33" s="207">
        <f>SUMIF(CJ8:CK28,"DI",CK8:CK28)</f>
        <v>0</v>
      </c>
      <c r="CK33" s="124"/>
      <c r="CL33" s="124"/>
      <c r="CM33" s="125"/>
      <c r="CN33" s="207">
        <f>SUMIF(CN8:CO28,"DI",CO8:CO28)</f>
        <v>0</v>
      </c>
      <c r="CO33" s="124"/>
      <c r="CP33" s="124"/>
      <c r="CQ33" s="125"/>
      <c r="CR33" s="207">
        <f>SUMIF(CR8:CS28,"DI",CS8:CS28)</f>
        <v>0</v>
      </c>
      <c r="CS33" s="124"/>
      <c r="CT33" s="124"/>
      <c r="CU33" s="125"/>
      <c r="CV33" s="207">
        <f>SUMIF(CV8:CW28,"DI",CW8:CW28)</f>
        <v>0</v>
      </c>
      <c r="CW33" s="124"/>
      <c r="CX33" s="124"/>
      <c r="CY33" s="125"/>
      <c r="CZ33" s="207">
        <f>SUMIF(CZ8:DA28,"DI",DA8:DA28)</f>
        <v>0</v>
      </c>
      <c r="DA33" s="124"/>
      <c r="DB33" s="124"/>
      <c r="DC33" s="125"/>
      <c r="DD33" s="207">
        <f>SUMIF(DD8:DE28,"DI",DE8:DE28)</f>
        <v>0</v>
      </c>
      <c r="DE33" s="124"/>
      <c r="DF33" s="124"/>
      <c r="DG33" s="125"/>
      <c r="DH33" s="207">
        <f>SUMIF(DH8:DI28,"DI",DI8:DI28)</f>
        <v>0</v>
      </c>
      <c r="DI33" s="124"/>
      <c r="DJ33" s="124"/>
      <c r="DK33" s="125"/>
      <c r="DL33" s="207">
        <f>SUMIF(DL8:DM28,"DI",DM8:DM28)</f>
        <v>0</v>
      </c>
      <c r="DM33" s="124"/>
      <c r="DN33" s="124"/>
      <c r="DO33" s="125"/>
      <c r="DP33" s="207">
        <f>SUMIF(DP8:DQ28,"DI",DQ8:DQ28)</f>
        <v>0</v>
      </c>
      <c r="DQ33" s="124"/>
      <c r="DR33" s="124"/>
      <c r="DS33" s="125"/>
      <c r="DT33" s="207">
        <f>SUMIF(DT8:DU28,"DI",DU8:DU28)</f>
        <v>0</v>
      </c>
      <c r="DU33" s="124"/>
      <c r="DV33" s="124"/>
      <c r="DW33" s="125"/>
      <c r="DX33" s="207">
        <f>SUMIF(DX8:DY28,"DI",DY8:DY28)</f>
        <v>0</v>
      </c>
      <c r="DY33" s="124"/>
      <c r="DZ33" s="124"/>
      <c r="EA33" s="125"/>
      <c r="EB33" s="3"/>
      <c r="EC33" s="126"/>
      <c r="ED33" s="3"/>
      <c r="EE33" s="3"/>
      <c r="EF33" s="3"/>
      <c r="EG33" s="3"/>
    </row>
    <row r="34" ht="16.5" customHeight="1">
      <c r="A34" s="3" t="s">
        <v>263</v>
      </c>
      <c r="B34" s="126" t="s">
        <v>264</v>
      </c>
      <c r="C34" s="204"/>
      <c r="D34" s="204"/>
      <c r="E34" s="3"/>
      <c r="F34" s="206" t="s">
        <v>265</v>
      </c>
      <c r="G34" s="125"/>
      <c r="H34" s="207">
        <f>SUMIF(H8:I28,Dienste!$B$10,I8:I28)+SUMIF(H8:I28,Dienste!$B$12,I8:I28)+SUMIF(H8:I28,Dienste!$B$20,I8:I28)+SUMIF(H8:I28,Dienste!$B$21,I8:I28)+SUMIF(H8:I28,Dienste!$B$27,I8:I28)+SUMIF(H8:I28,Dienste!$B$28,I8:I28)</f>
        <v>0</v>
      </c>
      <c r="I34" s="124"/>
      <c r="J34" s="124"/>
      <c r="K34" s="125"/>
      <c r="L34" s="207">
        <f>SUMIF(L8:M28,Dienste!$B$10,M8:M28)+SUMIF(L8:M28,Dienste!$B$12,M8:M28)+SUMIF(L8:M28,Dienste!$B$20,M8:M28)+SUMIF(L8:M28,Dienste!$B$21,M8:M28)+SUMIF(L8:M28,Dienste!$B$27,M8:M28)+SUMIF(L8:M28,Dienste!$B$28,M8:M28)</f>
        <v>0</v>
      </c>
      <c r="M34" s="124"/>
      <c r="N34" s="124"/>
      <c r="O34" s="125"/>
      <c r="P34" s="207">
        <f>SUMIF(P8:Q28,Dienste!$B$10,Q8:Q28)+SUMIF(P8:Q28,Dienste!$B$12,Q8:Q28)+SUMIF(P8:Q28,Dienste!$B$20,Q8:Q28)+SUMIF(P8:Q28,Dienste!$B$21,Q8:Q28)+SUMIF(P8:Q28,Dienste!$B$27,Q8:Q28)+SUMIF(P8:Q28,Dienste!$B$28,Q8:Q28)</f>
        <v>0</v>
      </c>
      <c r="Q34" s="124"/>
      <c r="R34" s="124"/>
      <c r="S34" s="125"/>
      <c r="T34" s="207">
        <f>SUMIF(T8:U28,Dienste!$B$10,U8:U28)+SUMIF(T8:U28,Dienste!$B$12,U8:U28)+SUMIF(T8:U28,Dienste!$B$20,U8:U28)+SUMIF(T8:U28,Dienste!$B$21,U8:U28)+SUMIF(T8:U28,Dienste!$B$27,U8:U28)+SUMIF(T8:U28,Dienste!$B$28,U8:U28)</f>
        <v>0</v>
      </c>
      <c r="U34" s="124"/>
      <c r="V34" s="124"/>
      <c r="W34" s="125"/>
      <c r="X34" s="207">
        <f>SUMIF(X8:Y28,Dienste!$B$10,Y8:Y28)+SUMIF(X8:Y28,Dienste!$B$12,Y8:Y28)+SUMIF(X8:Y28,Dienste!$B$20,Y8:Y28)+SUMIF(X8:Y28,Dienste!$B$21,Y8:Y28)+SUMIF(X8:Y28,Dienste!$B$27,Y8:Y28)+SUMIF(X8:Y28,Dienste!$B$28,Y8:Y28)</f>
        <v>0</v>
      </c>
      <c r="Y34" s="124"/>
      <c r="Z34" s="124"/>
      <c r="AA34" s="125"/>
      <c r="AB34" s="207">
        <f>SUMIF(AB8:AC28,Dienste!$B$10,AC8:AC28)+SUMIF(AB8:AC28,Dienste!$B$12,AC8:AC28)+SUMIF(AB8:AC28,Dienste!$B$20,AC8:AC28)+SUMIF(AB8:AC28,Dienste!$B$21,AC8:AC28)+SUMIF(AB8:AC28,Dienste!$B$27,AC8:AC28)+SUMIF(AB8:AC28,Dienste!$B$28,AC8:AC28)</f>
        <v>0</v>
      </c>
      <c r="AC34" s="124"/>
      <c r="AD34" s="124"/>
      <c r="AE34" s="125"/>
      <c r="AF34" s="207">
        <f>SUMIF(AF8:AG28,Dienste!$B$10,AG8:AG28)+SUMIF(AF8:AG28,Dienste!$B$12,AG8:AG28)+SUMIF(AF8:AG28,Dienste!$B$20,AG8:AG28)+SUMIF(AF8:AG28,Dienste!$B$21,AG8:AG28)+SUMIF(AF8:AG28,Dienste!$B$27,AG8:AG28)+SUMIF(AF8:AG28,Dienste!$B$28,AG8:AG28)</f>
        <v>0</v>
      </c>
      <c r="AG34" s="124"/>
      <c r="AH34" s="124"/>
      <c r="AI34" s="125"/>
      <c r="AJ34" s="207">
        <f>SUMIF(AJ8:AK28,Dienste!$B$10,AK8:AK28)+SUMIF(AJ8:AK28,Dienste!$B$12,AK8:AK28)+SUMIF(AJ8:AK28,Dienste!$B$20,AK8:AK28)+SUMIF(AJ8:AK28,Dienste!$B$21,AK8:AK28)+SUMIF(AJ8:AK28,Dienste!$B$27,AK8:AK28)+SUMIF(AJ8:AK28,Dienste!$B$28,AK8:AK28)</f>
        <v>0</v>
      </c>
      <c r="AK34" s="124"/>
      <c r="AL34" s="124"/>
      <c r="AM34" s="125"/>
      <c r="AN34" s="207">
        <f>SUMIF(AN8:AO28,Dienste!$B$10,AO8:AO28)+SUMIF(AN8:AO28,Dienste!$B$12,AO8:AO28)+SUMIF(AN8:AO28,Dienste!$B$20,AO8:AO28)+SUMIF(AN8:AO28,Dienste!$B$21,AO8:AO28)+SUMIF(AN8:AO28,Dienste!$B$27,AO8:AO28)+SUMIF(AN8:AO28,Dienste!$B$28,AO8:AO28)</f>
        <v>0</v>
      </c>
      <c r="AO34" s="124"/>
      <c r="AP34" s="124"/>
      <c r="AQ34" s="125"/>
      <c r="AR34" s="207">
        <f>SUMIF(AR8:AS28,Dienste!$B$10,AS8:AS28)+SUMIF(AR8:AS28,Dienste!$B$12,AS8:AS28)+SUMIF(AR8:AS28,Dienste!$B$20,AS8:AS28)+SUMIF(AR8:AS28,Dienste!$B$21,AS8:AS28)+SUMIF(AR8:AS28,Dienste!$B$27,AS8:AS28)+SUMIF(AR8:AS28,Dienste!$B$28,AS8:AS28)</f>
        <v>0</v>
      </c>
      <c r="AS34" s="124"/>
      <c r="AT34" s="124"/>
      <c r="AU34" s="125"/>
      <c r="AV34" s="207">
        <f>SUMIF(AV8:AW28,Dienste!$B$10,AW8:AW28)+SUMIF(AV8:AW28,Dienste!$B$12,AW8:AW28)+SUMIF(AV8:AW28,Dienste!$B$20,AW8:AW28)+SUMIF(AV8:AW28,Dienste!$B$21,AW8:AW28)+SUMIF(AV8:AW28,Dienste!$B$27,AW8:AW28)+SUMIF(AV8:AW28,Dienste!$B$28,AW8:AW28)</f>
        <v>0</v>
      </c>
      <c r="AW34" s="124"/>
      <c r="AX34" s="124"/>
      <c r="AY34" s="125"/>
      <c r="AZ34" s="207">
        <f>SUMIF(AZ8:BA28,Dienste!$B$10,BA8:BA28)+SUMIF(AZ8:BA28,Dienste!$B$12,BA8:BA28)+SUMIF(AZ8:BA28,Dienste!$B$20,BA8:BA28)+SUMIF(AZ8:BA28,Dienste!$B$21,BA8:BA28)+SUMIF(AZ8:BA28,Dienste!$B$27,BA8:BA28)+SUMIF(AZ8:BA28,Dienste!$B$28,BA8:BA28)</f>
        <v>0</v>
      </c>
      <c r="BA34" s="124"/>
      <c r="BB34" s="124"/>
      <c r="BC34" s="125"/>
      <c r="BD34" s="207">
        <f>SUMIF(BD8:BE28,Dienste!$B$10,BE8:BE28)+SUMIF(BD8:BE28,Dienste!$B$12,BE8:BE28)+SUMIF(BD8:BE28,Dienste!$B$20,BE8:BE28)+SUMIF(BD8:BE28,Dienste!$B$21,BE8:BE28)+SUMIF(BD8:BE28,Dienste!$B$27,BE8:BE28)+SUMIF(BD8:BE28,Dienste!$B$28,BE8:BE28)</f>
        <v>0</v>
      </c>
      <c r="BE34" s="124"/>
      <c r="BF34" s="124"/>
      <c r="BG34" s="125"/>
      <c r="BH34" s="207">
        <f>SUMIF(BH8:BI28,Dienste!$B$10,BI8:BI28)+SUMIF(BH8:BI28,Dienste!$B$12,BI8:BI28)+SUMIF(BH8:BI28,Dienste!$B$20,BI8:BI28)+SUMIF(BH8:BI28,Dienste!$B$21,BI8:BI28)+SUMIF(BH8:BI28,Dienste!$B$27,BI8:BI28)+SUMIF(BH8:BI28,Dienste!$B$28,BI8:BI28)</f>
        <v>0.9166666667</v>
      </c>
      <c r="BI34" s="124"/>
      <c r="BJ34" s="124"/>
      <c r="BK34" s="125"/>
      <c r="BL34" s="207">
        <f>SUMIF(BL8:BM28,Dienste!$B$10,BM8:BM28)+SUMIF(BL8:BM28,Dienste!$B$12,BM8:BM28)+SUMIF(BL8:BM28,Dienste!$B$20,BM8:BM28)+SUMIF(BL8:BM28,Dienste!$B$21,BM8:BM28)+SUMIF(BL8:BM28,Dienste!$B$27,BM8:BM28)+SUMIF(BL8:BM28,Dienste!$B$28,BM8:BM28)</f>
        <v>0.9166666667</v>
      </c>
      <c r="BM34" s="124"/>
      <c r="BN34" s="124"/>
      <c r="BO34" s="125"/>
      <c r="BP34" s="207">
        <f>SUMIF(BP8:BQ28,Dienste!$B$10,BQ8:BQ28)+SUMIF(BP8:BQ28,Dienste!$B$12,BQ8:BQ28)+SUMIF(BP8:BQ28,Dienste!$B$20,BQ8:BQ28)+SUMIF(BP8:BQ28,Dienste!$B$21,BQ8:BQ28)+SUMIF(BP8:BQ28,Dienste!$B$27,BQ8:BQ28)+SUMIF(BP8:BQ28,Dienste!$B$28,BQ8:BQ28)</f>
        <v>0.9166666667</v>
      </c>
      <c r="BQ34" s="124"/>
      <c r="BR34" s="124"/>
      <c r="BS34" s="125"/>
      <c r="BT34" s="207">
        <f>SUMIF(BT8:BU28,Dienste!$B$10,BU8:BU28)+SUMIF(BT8:BU28,Dienste!$B$12,BU8:BU28)+SUMIF(BT8:BU28,Dienste!$B$20,BU8:BU28)+SUMIF(BT8:BU28,Dienste!$B$21,BU8:BU28)+SUMIF(BT8:BU28,Dienste!$B$27,BU8:BU28)+SUMIF(BT8:BU28,Dienste!$B$28,BU8:BU28)</f>
        <v>0.9166666667</v>
      </c>
      <c r="BU34" s="124"/>
      <c r="BV34" s="124"/>
      <c r="BW34" s="125"/>
      <c r="BX34" s="207">
        <f>SUMIF(BX8:BY28,Dienste!$B$10,BY8:BY28)+SUMIF(BX8:BY28,Dienste!$B$12,BY8:BY28)+SUMIF(BX8:BY28,Dienste!$B$20,BY8:BY28)+SUMIF(BX8:BY28,Dienste!$B$21,BY8:BY28)+SUMIF(BX8:BY28,Dienste!$B$27,BY8:BY28)+SUMIF(BX8:BY28,Dienste!$B$28,BY8:BY28)</f>
        <v>0.9166666667</v>
      </c>
      <c r="BY34" s="124"/>
      <c r="BZ34" s="124"/>
      <c r="CA34" s="125"/>
      <c r="CB34" s="207">
        <f>SUMIF(CB8:CC28,Dienste!$B$10,CC8:CC28)+SUMIF(CB8:CC28,Dienste!$B$12,CC8:CC28)+SUMIF(CB8:CC28,Dienste!$B$20,CC8:CC28)+SUMIF(CB8:CC28,Dienste!$B$21,CC8:CC28)+SUMIF(CB8:CC28,Dienste!$B$27,CC8:CC28)+SUMIF(CB8:CC28,Dienste!$B$28,CC8:CC28)</f>
        <v>0</v>
      </c>
      <c r="CC34" s="124"/>
      <c r="CD34" s="124"/>
      <c r="CE34" s="125"/>
      <c r="CF34" s="207">
        <f>SUMIF(CF8:CG28,Dienste!$B$10,CG8:CG28)+SUMIF(CF8:CG28,Dienste!$B$12,CG8:CG28)+SUMIF(CF8:CG28,Dienste!$B$20,CG8:CG28)+SUMIF(CF8:CG28,Dienste!$B$21,CG8:CG28)+SUMIF(CF8:CG28,Dienste!$B$27,CG8:CG28)+SUMIF(CF8:CG28,Dienste!$B$28,CG8:CG28)</f>
        <v>0</v>
      </c>
      <c r="CG34" s="124"/>
      <c r="CH34" s="124"/>
      <c r="CI34" s="125"/>
      <c r="CJ34" s="207">
        <f>SUMIF(CJ8:CK28,Dienste!$B$10,CK8:CK28)+SUMIF(CJ8:CK28,Dienste!$B$12,CK8:CK28)+SUMIF(CJ8:CK28,Dienste!$B$20,CK8:CK28)+SUMIF(CJ8:CK28,Dienste!$B$21,CK8:CK28)+SUMIF(CJ8:CK28,Dienste!$B$27,CK8:CK28)+SUMIF(CJ8:CK28,Dienste!$B$28,CK8:CK28)</f>
        <v>0</v>
      </c>
      <c r="CK34" s="124"/>
      <c r="CL34" s="124"/>
      <c r="CM34" s="125"/>
      <c r="CN34" s="207">
        <f>SUMIF(CN8:CO28,Dienste!$B$10,CO8:CO28)+SUMIF(CN8:CO28,Dienste!$B$12,CO8:CO28)+SUMIF(CN8:CO28,Dienste!$B$20,CO8:CO28)+SUMIF(CN8:CO28,Dienste!$B$21,CO8:CO28)+SUMIF(CN8:CO28,Dienste!$B$27,CO8:CO28)+SUMIF(CN8:CO28,Dienste!$B$28,CO8:CO28)</f>
        <v>0</v>
      </c>
      <c r="CO34" s="124"/>
      <c r="CP34" s="124"/>
      <c r="CQ34" s="125"/>
      <c r="CR34" s="207">
        <f>SUMIF(CR8:CS28,Dienste!$B$10,CS8:CS28)+SUMIF(CR8:CS28,Dienste!$B$12,CS8:CS28)+SUMIF(CR8:CS28,Dienste!$B$20,CS8:CS28)+SUMIF(CR8:CS28,Dienste!$B$21,CS8:CS28)+SUMIF(CR8:CS28,Dienste!$B$27,CS8:CS28)+SUMIF(CR8:CS28,Dienste!$B$28,CS8:CS28)</f>
        <v>0</v>
      </c>
      <c r="CS34" s="124"/>
      <c r="CT34" s="124"/>
      <c r="CU34" s="125"/>
      <c r="CV34" s="207">
        <f>SUMIF(CV8:CW28,Dienste!$B$10,CW8:CW28)+SUMIF(CV8:CW28,Dienste!$B$12,CW8:CW28)+SUMIF(CV8:CW28,Dienste!$B$20,CW8:CW28)+SUMIF(CV8:CW28,Dienste!$B$21,CW8:CW28)+SUMIF(CV8:CW28,Dienste!$B$27,CW8:CW28)+SUMIF(CV8:CW28,Dienste!$B$28,CW8:CW28)</f>
        <v>0</v>
      </c>
      <c r="CW34" s="124"/>
      <c r="CX34" s="124"/>
      <c r="CY34" s="125"/>
      <c r="CZ34" s="207">
        <f>SUMIF(CZ8:DA28,Dienste!$B$10,DA8:DA28)+SUMIF(CZ8:DA28,Dienste!$B$12,DA8:DA28)+SUMIF(CZ8:DA28,Dienste!$B$20,DA8:DA28)+SUMIF(CZ8:DA28,Dienste!$B$21,DA8:DA28)+SUMIF(CZ8:DA28,Dienste!$B$27,DA8:DA28)+SUMIF(CZ8:DA28,Dienste!$B$28,DA8:DA28)</f>
        <v>0</v>
      </c>
      <c r="DA34" s="124"/>
      <c r="DB34" s="124"/>
      <c r="DC34" s="125"/>
      <c r="DD34" s="207">
        <f>SUMIF(DD8:DE28,Dienste!$B$10,DE8:DE28)+SUMIF(DD8:DE28,Dienste!$B$12,DE8:DE28)+SUMIF(DD8:DE28,Dienste!$B$20,DE8:DE28)+SUMIF(DD8:DE28,Dienste!$B$21,DE8:DE28)+SUMIF(DD8:DE28,Dienste!$B$27,DE8:DE28)+SUMIF(DD8:DE28,Dienste!$B$28,DE8:DE28)</f>
        <v>0</v>
      </c>
      <c r="DE34" s="124"/>
      <c r="DF34" s="124"/>
      <c r="DG34" s="125"/>
      <c r="DH34" s="207">
        <f>SUMIF(DH8:DI28,Dienste!$B$10,DI8:DI28)+SUMIF(DH8:DI28,Dienste!$B$12,DI8:DI28)+SUMIF(DH8:DI28,Dienste!$B$20,DI8:DI28)+SUMIF(DH8:DI28,Dienste!$B$21,DI8:DI28)+SUMIF(DH8:DI28,Dienste!$B$27,DI8:DI28)+SUMIF(DH8:DI28,Dienste!$B$28,DI8:DI28)</f>
        <v>0</v>
      </c>
      <c r="DI34" s="124"/>
      <c r="DJ34" s="124"/>
      <c r="DK34" s="125"/>
      <c r="DL34" s="207">
        <f>SUMIF(DL8:DM28,Dienste!$B$10,DM8:DM28)+SUMIF(DL8:DM28,Dienste!$B$12,DM8:DM28)+SUMIF(DL8:DM28,Dienste!$B$20,DM8:DM28)+SUMIF(DL8:DM28,Dienste!$B$21,DM8:DM28)+SUMIF(DL8:DM28,Dienste!$B$27,DM8:DM28)+SUMIF(DL8:DM28,Dienste!$B$28,DM8:DM28)</f>
        <v>0</v>
      </c>
      <c r="DM34" s="124"/>
      <c r="DN34" s="124"/>
      <c r="DO34" s="125"/>
      <c r="DP34" s="207">
        <f>SUMIF(DP8:DQ28,Dienste!$B$10,DQ8:DQ28)+SUMIF(DP8:DQ28,Dienste!$B$12,DQ8:DQ28)+SUMIF(DP8:DQ28,Dienste!$B$20,DQ8:DQ28)+SUMIF(DP8:DQ28,Dienste!$B$21,DQ8:DQ28)+SUMIF(DP8:DQ28,Dienste!$B$27,DQ8:DQ28)+SUMIF(DP8:DQ28,Dienste!$B$28,DQ8:DQ28)</f>
        <v>0</v>
      </c>
      <c r="DQ34" s="124"/>
      <c r="DR34" s="124"/>
      <c r="DS34" s="125"/>
      <c r="DT34" s="207">
        <f>SUMIF(DT8:DU28,Dienste!$B$10,DU8:DU28)+SUMIF(DT8:DU28,Dienste!$B$12,DU8:DU28)+SUMIF(DT8:DU28,Dienste!$B$20,DU8:DU28)+SUMIF(DT8:DU28,Dienste!$B$21,DU8:DU28)+SUMIF(DT8:DU28,Dienste!$B$27,DU8:DU28)+SUMIF(DT8:DU28,Dienste!$B$28,DU8:DU28)</f>
        <v>0</v>
      </c>
      <c r="DU34" s="124"/>
      <c r="DV34" s="124"/>
      <c r="DW34" s="125"/>
      <c r="DX34" s="207">
        <f>SUMIF(DX8:DY28,Dienste!$B$10,DY8:DY28)+SUMIF(DX8:DY28,Dienste!$B$12,DY8:DY28)+SUMIF(DX8:DY28,Dienste!$B$20,DY8:DY28)+SUMIF(DX8:DY28,Dienste!$B$21,DY8:DY28)+SUMIF(DX8:DY28,Dienste!$B$27,DY8:DY28)+SUMIF(DX8:DY28,Dienste!$B$28,DY8:DY28)</f>
        <v>0</v>
      </c>
      <c r="DY34" s="124"/>
      <c r="DZ34" s="124"/>
      <c r="EA34" s="125"/>
      <c r="EB34" s="3"/>
      <c r="EC34" s="126"/>
      <c r="ED34" s="3"/>
      <c r="EE34" s="3"/>
      <c r="EF34" s="3"/>
      <c r="EG34" s="3"/>
    </row>
    <row r="35" ht="16.5" customHeight="1">
      <c r="A35" s="126" t="s">
        <v>266</v>
      </c>
      <c r="B35" s="126" t="s">
        <v>267</v>
      </c>
      <c r="C35" s="209"/>
      <c r="D35" s="209"/>
      <c r="E35" s="3"/>
      <c r="F35" s="206" t="s">
        <v>268</v>
      </c>
      <c r="G35" s="125"/>
      <c r="H35" s="207">
        <f>SUMIF(H8:I28,"K",I8:I28)</f>
        <v>0</v>
      </c>
      <c r="I35" s="124"/>
      <c r="J35" s="124"/>
      <c r="K35" s="125"/>
      <c r="L35" s="207">
        <f>SUMIF(L8:M28,"K",M8:M28)</f>
        <v>0</v>
      </c>
      <c r="M35" s="124"/>
      <c r="N35" s="124"/>
      <c r="O35" s="125"/>
      <c r="P35" s="207">
        <f>SUMIF(P8:Q28,"K",Q8:Q28)</f>
        <v>0</v>
      </c>
      <c r="Q35" s="124"/>
      <c r="R35" s="124"/>
      <c r="S35" s="125"/>
      <c r="T35" s="207">
        <f>SUMIF(T8:U28,"K",U8:U28)</f>
        <v>0</v>
      </c>
      <c r="U35" s="124"/>
      <c r="V35" s="124"/>
      <c r="W35" s="125"/>
      <c r="X35" s="207">
        <f>SUMIF(X8:Y28,"K",Y8:Y28)</f>
        <v>0</v>
      </c>
      <c r="Y35" s="124"/>
      <c r="Z35" s="124"/>
      <c r="AA35" s="125"/>
      <c r="AB35" s="207">
        <f>SUMIF(AB8:AC28,"K",AC8:AC28)</f>
        <v>0</v>
      </c>
      <c r="AC35" s="124"/>
      <c r="AD35" s="124"/>
      <c r="AE35" s="125"/>
      <c r="AF35" s="207">
        <f>SUMIF(AF8:AG28,"K",AG8:AG28)</f>
        <v>0</v>
      </c>
      <c r="AG35" s="124"/>
      <c r="AH35" s="124"/>
      <c r="AI35" s="125"/>
      <c r="AJ35" s="207">
        <f>SUMIF(AJ8:AK28,"K",AK8:AK28)</f>
        <v>0</v>
      </c>
      <c r="AK35" s="124"/>
      <c r="AL35" s="124"/>
      <c r="AM35" s="125"/>
      <c r="AN35" s="207">
        <f>SUMIF(AN8:AO28,"K",AO8:AO28)</f>
        <v>0</v>
      </c>
      <c r="AO35" s="124"/>
      <c r="AP35" s="124"/>
      <c r="AQ35" s="125"/>
      <c r="AR35" s="207">
        <f>SUMIF(AR8:AS28,"K",AS8:AS28)</f>
        <v>0</v>
      </c>
      <c r="AS35" s="124"/>
      <c r="AT35" s="124"/>
      <c r="AU35" s="125"/>
      <c r="AV35" s="207">
        <f>SUMIF(AV8:AW28,"K",AW8:AW28)</f>
        <v>0</v>
      </c>
      <c r="AW35" s="124"/>
      <c r="AX35" s="124"/>
      <c r="AY35" s="125"/>
      <c r="AZ35" s="207">
        <f>SUMIF(AZ8:BA28,"K",BA8:BA28)</f>
        <v>0</v>
      </c>
      <c r="BA35" s="124"/>
      <c r="BB35" s="124"/>
      <c r="BC35" s="125"/>
      <c r="BD35" s="207">
        <f>SUMIF(BD8:BE28,"K",BE8:BE28)</f>
        <v>0</v>
      </c>
      <c r="BE35" s="124"/>
      <c r="BF35" s="124"/>
      <c r="BG35" s="125"/>
      <c r="BH35" s="207">
        <f>SUMIF(BH8:BI28,"K",BI8:BI28)</f>
        <v>0</v>
      </c>
      <c r="BI35" s="124"/>
      <c r="BJ35" s="124"/>
      <c r="BK35" s="125"/>
      <c r="BL35" s="207">
        <f>SUMIF(BL8:BM28,"K",BM8:BM28)</f>
        <v>0</v>
      </c>
      <c r="BM35" s="124"/>
      <c r="BN35" s="124"/>
      <c r="BO35" s="125"/>
      <c r="BP35" s="207">
        <f>SUMIF(BP8:BQ28,"K",BQ8:BQ28)</f>
        <v>0</v>
      </c>
      <c r="BQ35" s="124"/>
      <c r="BR35" s="124"/>
      <c r="BS35" s="125"/>
      <c r="BT35" s="207">
        <f>SUMIF(BT8:BU28,"K",BU8:BU28)</f>
        <v>0</v>
      </c>
      <c r="BU35" s="124"/>
      <c r="BV35" s="124"/>
      <c r="BW35" s="125"/>
      <c r="BX35" s="207">
        <f>SUMIF(BX8:BY28,"K",BY8:BY28)</f>
        <v>0</v>
      </c>
      <c r="BY35" s="124"/>
      <c r="BZ35" s="124"/>
      <c r="CA35" s="125"/>
      <c r="CB35" s="207">
        <f>SUMIF(CB8:CC28,"K",CC8:CC28)</f>
        <v>0</v>
      </c>
      <c r="CC35" s="124"/>
      <c r="CD35" s="124"/>
      <c r="CE35" s="125"/>
      <c r="CF35" s="207">
        <f>SUMIF(CF8:CG28,"K",CG8:CG28)</f>
        <v>0</v>
      </c>
      <c r="CG35" s="124"/>
      <c r="CH35" s="124"/>
      <c r="CI35" s="125"/>
      <c r="CJ35" s="207">
        <f>SUMIF(CJ8:CK28,"K",CK8:CK28)</f>
        <v>0</v>
      </c>
      <c r="CK35" s="124"/>
      <c r="CL35" s="124"/>
      <c r="CM35" s="125"/>
      <c r="CN35" s="207">
        <f>SUMIF(CN8:CO28,"K",CO8:CO28)</f>
        <v>0</v>
      </c>
      <c r="CO35" s="124"/>
      <c r="CP35" s="124"/>
      <c r="CQ35" s="125"/>
      <c r="CR35" s="207">
        <f>SUMIF(CR8:CS28,"K",CS8:CS28)</f>
        <v>0</v>
      </c>
      <c r="CS35" s="124"/>
      <c r="CT35" s="124"/>
      <c r="CU35" s="125"/>
      <c r="CV35" s="207">
        <f>SUMIF(CV8:CW28,"K",CW8:CW28)</f>
        <v>0</v>
      </c>
      <c r="CW35" s="124"/>
      <c r="CX35" s="124"/>
      <c r="CY35" s="125"/>
      <c r="CZ35" s="207">
        <f>SUMIF(CZ8:DA28,"K",DA8:DA28)</f>
        <v>0</v>
      </c>
      <c r="DA35" s="124"/>
      <c r="DB35" s="124"/>
      <c r="DC35" s="125"/>
      <c r="DD35" s="207">
        <f>SUMIF(DD8:DE28,"K",DE8:DE28)</f>
        <v>0</v>
      </c>
      <c r="DE35" s="124"/>
      <c r="DF35" s="124"/>
      <c r="DG35" s="125"/>
      <c r="DH35" s="207">
        <f>SUMIF(DH8:DI28,"K",DI8:DI28)</f>
        <v>0</v>
      </c>
      <c r="DI35" s="124"/>
      <c r="DJ35" s="124"/>
      <c r="DK35" s="125"/>
      <c r="DL35" s="207">
        <f>SUMIF(DL8:DM28,"K",DM8:DM28)</f>
        <v>0</v>
      </c>
      <c r="DM35" s="124"/>
      <c r="DN35" s="124"/>
      <c r="DO35" s="125"/>
      <c r="DP35" s="207">
        <f>SUMIF(DP8:DQ28,"K",DQ8:DQ28)</f>
        <v>0</v>
      </c>
      <c r="DQ35" s="124"/>
      <c r="DR35" s="124"/>
      <c r="DS35" s="125"/>
      <c r="DT35" s="207">
        <f>SUMIF(DT8:DU28,"K",DU8:DU28)</f>
        <v>0</v>
      </c>
      <c r="DU35" s="124"/>
      <c r="DV35" s="124"/>
      <c r="DW35" s="125"/>
      <c r="DX35" s="207">
        <f>SUMIF(DX8:DY28,"K",DY8:DY28)</f>
        <v>0</v>
      </c>
      <c r="DY35" s="124"/>
      <c r="DZ35" s="124"/>
      <c r="EA35" s="125"/>
      <c r="EB35" s="3"/>
      <c r="EC35" s="126"/>
      <c r="ED35" s="3"/>
      <c r="EE35" s="3"/>
      <c r="EF35" s="3"/>
      <c r="EG35" s="3"/>
    </row>
    <row r="36" ht="16.5" customHeight="1">
      <c r="A36" s="210" t="s">
        <v>269</v>
      </c>
      <c r="B36" s="210" t="s">
        <v>150</v>
      </c>
      <c r="C36" s="209"/>
      <c r="D36" s="209"/>
      <c r="E36" s="3"/>
      <c r="F36" s="206" t="s">
        <v>270</v>
      </c>
      <c r="G36" s="125"/>
      <c r="H36" s="207">
        <f>SUMIF(H8:I28,"MB",I8:I28)</f>
        <v>0</v>
      </c>
      <c r="I36" s="124"/>
      <c r="J36" s="124"/>
      <c r="K36" s="125"/>
      <c r="L36" s="207">
        <f>SUMIF(L8:M28,"MB",M8:M28)</f>
        <v>0</v>
      </c>
      <c r="M36" s="124"/>
      <c r="N36" s="124"/>
      <c r="O36" s="125"/>
      <c r="P36" s="207">
        <f>SUMIF(P8:Q28,"MB",Q8:Q28)</f>
        <v>0</v>
      </c>
      <c r="Q36" s="124"/>
      <c r="R36" s="124"/>
      <c r="S36" s="125"/>
      <c r="T36" s="207">
        <f>SUMIF(T8:U28,"MB",U8:U28)</f>
        <v>0</v>
      </c>
      <c r="U36" s="124"/>
      <c r="V36" s="124"/>
      <c r="W36" s="125"/>
      <c r="X36" s="207">
        <f>SUMIF(X8:Y28,"MB",Y8:Y28)</f>
        <v>0</v>
      </c>
      <c r="Y36" s="124"/>
      <c r="Z36" s="124"/>
      <c r="AA36" s="125"/>
      <c r="AB36" s="207">
        <f>SUMIF(AB8:AC28,"MB",AC8:AC28)</f>
        <v>0</v>
      </c>
      <c r="AC36" s="124"/>
      <c r="AD36" s="124"/>
      <c r="AE36" s="125"/>
      <c r="AF36" s="207">
        <f>SUMIF(AF8:AG28,"MB",AG8:AG28)</f>
        <v>0</v>
      </c>
      <c r="AG36" s="124"/>
      <c r="AH36" s="124"/>
      <c r="AI36" s="125"/>
      <c r="AJ36" s="207">
        <f>SUMIF(AJ8:AK28,"MB",AK8:AK28)</f>
        <v>0</v>
      </c>
      <c r="AK36" s="124"/>
      <c r="AL36" s="124"/>
      <c r="AM36" s="125"/>
      <c r="AN36" s="207">
        <f>SUMIF(AN8:AO28,"MB",AO8:AO28)</f>
        <v>0</v>
      </c>
      <c r="AO36" s="124"/>
      <c r="AP36" s="124"/>
      <c r="AQ36" s="125"/>
      <c r="AR36" s="207">
        <f>SUMIF(AR8:AS28,"MB",AS8:AS28)</f>
        <v>0</v>
      </c>
      <c r="AS36" s="124"/>
      <c r="AT36" s="124"/>
      <c r="AU36" s="125"/>
      <c r="AV36" s="207">
        <f>SUMIF(AV8:AW28,"MB",AW8:AW28)</f>
        <v>0</v>
      </c>
      <c r="AW36" s="124"/>
      <c r="AX36" s="124"/>
      <c r="AY36" s="125"/>
      <c r="AZ36" s="207">
        <f>SUMIF(AZ8:BA28,"MB",BA8:BA28)</f>
        <v>0</v>
      </c>
      <c r="BA36" s="124"/>
      <c r="BB36" s="124"/>
      <c r="BC36" s="125"/>
      <c r="BD36" s="207">
        <f>SUMIF(BD8:BE28,"MB",BE8:BE28)</f>
        <v>0</v>
      </c>
      <c r="BE36" s="124"/>
      <c r="BF36" s="124"/>
      <c r="BG36" s="125"/>
      <c r="BH36" s="207">
        <f>SUMIF(BH8:BI28,"MB",BI8:BI28)</f>
        <v>0</v>
      </c>
      <c r="BI36" s="124"/>
      <c r="BJ36" s="124"/>
      <c r="BK36" s="125"/>
      <c r="BL36" s="207">
        <f>SUMIF(BL8:BM28,"MB",BM8:BM28)</f>
        <v>0</v>
      </c>
      <c r="BM36" s="124"/>
      <c r="BN36" s="124"/>
      <c r="BO36" s="125"/>
      <c r="BP36" s="207">
        <f>SUMIF(BP8:BQ28,"MB",BQ8:BQ28)</f>
        <v>0</v>
      </c>
      <c r="BQ36" s="124"/>
      <c r="BR36" s="124"/>
      <c r="BS36" s="125"/>
      <c r="BT36" s="207">
        <f>SUMIF(BT8:BU28,"MB",BU8:BU28)</f>
        <v>0</v>
      </c>
      <c r="BU36" s="124"/>
      <c r="BV36" s="124"/>
      <c r="BW36" s="125"/>
      <c r="BX36" s="207">
        <f>SUMIF(BX8:BY28,"MB",BY8:BY28)</f>
        <v>0</v>
      </c>
      <c r="BY36" s="124"/>
      <c r="BZ36" s="124"/>
      <c r="CA36" s="125"/>
      <c r="CB36" s="207">
        <f>SUMIF(CB8:CC28,"MB",CC8:CC28)</f>
        <v>0</v>
      </c>
      <c r="CC36" s="124"/>
      <c r="CD36" s="124"/>
      <c r="CE36" s="125"/>
      <c r="CF36" s="207">
        <f>SUMIF(CF8:CG28,"MB",CG8:CG28)</f>
        <v>0</v>
      </c>
      <c r="CG36" s="124"/>
      <c r="CH36" s="124"/>
      <c r="CI36" s="125"/>
      <c r="CJ36" s="207">
        <f>SUMIF(CJ8:CK28,"MB",CK8:CK28)</f>
        <v>0</v>
      </c>
      <c r="CK36" s="124"/>
      <c r="CL36" s="124"/>
      <c r="CM36" s="125"/>
      <c r="CN36" s="207">
        <f>SUMIF(CN8:CO28,"MB",CO8:CO28)</f>
        <v>0</v>
      </c>
      <c r="CO36" s="124"/>
      <c r="CP36" s="124"/>
      <c r="CQ36" s="125"/>
      <c r="CR36" s="207">
        <f>SUMIF(CR8:CS28,"MB",CS8:CS28)</f>
        <v>0</v>
      </c>
      <c r="CS36" s="124"/>
      <c r="CT36" s="124"/>
      <c r="CU36" s="125"/>
      <c r="CV36" s="207">
        <f>SUMIF(CV8:CW28,"MB",CW8:CW28)</f>
        <v>0</v>
      </c>
      <c r="CW36" s="124"/>
      <c r="CX36" s="124"/>
      <c r="CY36" s="125"/>
      <c r="CZ36" s="207">
        <f>SUMIF(CZ8:DA28,"MB",DA8:DA28)</f>
        <v>0</v>
      </c>
      <c r="DA36" s="124"/>
      <c r="DB36" s="124"/>
      <c r="DC36" s="125"/>
      <c r="DD36" s="207">
        <f>SUMIF(DD8:DE28,"MB",DE8:DE28)</f>
        <v>0</v>
      </c>
      <c r="DE36" s="124"/>
      <c r="DF36" s="124"/>
      <c r="DG36" s="125"/>
      <c r="DH36" s="207">
        <f>SUMIF(DH8:DI28,"MB",DI8:DI28)</f>
        <v>0</v>
      </c>
      <c r="DI36" s="124"/>
      <c r="DJ36" s="124"/>
      <c r="DK36" s="125"/>
      <c r="DL36" s="207">
        <f>SUMIF(DL8:DM28,"MB",DM8:DM28)</f>
        <v>0</v>
      </c>
      <c r="DM36" s="124"/>
      <c r="DN36" s="124"/>
      <c r="DO36" s="125"/>
      <c r="DP36" s="207">
        <f>SUMIF(DP8:DQ28,"MB",DQ8:DQ28)</f>
        <v>0</v>
      </c>
      <c r="DQ36" s="124"/>
      <c r="DR36" s="124"/>
      <c r="DS36" s="125"/>
      <c r="DT36" s="207">
        <f>SUMIF(DT8:DU28,"MB",DU8:DU28)</f>
        <v>0</v>
      </c>
      <c r="DU36" s="124"/>
      <c r="DV36" s="124"/>
      <c r="DW36" s="125"/>
      <c r="DX36" s="207">
        <f>SUMIF(DX8:DY28,"MB",DY8:DY28)</f>
        <v>0</v>
      </c>
      <c r="DY36" s="124"/>
      <c r="DZ36" s="124"/>
      <c r="EA36" s="125"/>
      <c r="EB36" s="3"/>
      <c r="EC36" s="126"/>
      <c r="ED36" s="3"/>
      <c r="EE36" s="3"/>
      <c r="EF36" s="3"/>
      <c r="EG36" s="3"/>
    </row>
    <row r="37" ht="16.5" customHeight="1">
      <c r="A37" s="3"/>
      <c r="B37" s="211"/>
      <c r="C37" s="204"/>
      <c r="D37" s="204"/>
      <c r="E37" s="3"/>
      <c r="F37" s="212" t="s">
        <v>271</v>
      </c>
      <c r="G37" s="150"/>
      <c r="H37" s="213" t="str">
        <f>IF(H1="Feiertag",$E$5,IF(H4="schulfrei",$F$2,IF(OR(H6="Montag",H6="Dienstag",H6="Mittwoch",H6="Donnerstag",H6="Freitag"),$E$2,IF(H6="Samstag",$E$3,IF(H6="Sonntag",$E$4,)))))</f>
        <v/>
      </c>
      <c r="I37" s="124"/>
      <c r="J37" s="124"/>
      <c r="K37" s="125"/>
      <c r="L37" s="213" t="str">
        <f>IF(L1="Feiertag",$E$5,IF(L4="schulfrei",$F$2,IF(OR(L6="Montag",L6="Dienstag",L6="Mittwoch",L6="Donnerstag",L6="Freitag"),$E$2,IF(L6="Samstag",$E$3,IF(L6="Sonntag",$E$4,)))))</f>
        <v/>
      </c>
      <c r="M37" s="124"/>
      <c r="N37" s="124"/>
      <c r="O37" s="125"/>
      <c r="P37" s="213" t="str">
        <f>IF(P1="Feiertag",$E$5,IF(P4="schulfrei",$F$2,IF(OR(P6="Montag",P6="Dienstag",P6="Mittwoch",P6="Donnerstag",P6="Freitag"),$E$2,IF(P6="Samstag",$E$3,IF(P6="Sonntag",$E$4,)))))</f>
        <v/>
      </c>
      <c r="Q37" s="124"/>
      <c r="R37" s="124"/>
      <c r="S37" s="125"/>
      <c r="T37" s="213" t="str">
        <f>IF(T1="Feiertag",$E$5,IF(T4="schulfrei",$F$2,IF(OR(T6="Montag",T6="Dienstag",T6="Mittwoch",T6="Donnerstag",T6="Freitag"),$E$2,IF(T6="Samstag",$E$3,IF(T6="Sonntag",$E$4,)))))</f>
        <v/>
      </c>
      <c r="U37" s="124"/>
      <c r="V37" s="124"/>
      <c r="W37" s="125"/>
      <c r="X37" s="213" t="str">
        <f>IF(X1="Feiertag",$E$5,IF(X4="schulfrei",$F$2,IF(OR(X6="Montag",X6="Dienstag",X6="Mittwoch",X6="Donnerstag",X6="Freitag"),$E$2,IF(X6="Samstag",$E$3,IF(X6="Sonntag",$E$4,)))))</f>
        <v/>
      </c>
      <c r="Y37" s="124"/>
      <c r="Z37" s="124"/>
      <c r="AA37" s="125"/>
      <c r="AB37" s="213" t="str">
        <f>IF(AB1="Feiertag",$E$5,IF(AB4="schulfrei",$F$2,IF(OR(AB6="Montag",AB6="Dienstag",AB6="Mittwoch",AB6="Donnerstag",AB6="Freitag"),$E$2,IF(AB6="Samstag",$E$3,IF(AB6="Sonntag",$E$4,)))))</f>
        <v/>
      </c>
      <c r="AC37" s="124"/>
      <c r="AD37" s="124"/>
      <c r="AE37" s="125"/>
      <c r="AF37" s="213" t="str">
        <f>IF(AF1="Feiertag",$E$5,IF(AF4="schulfrei",$F$2,IF(OR(AF6="Montag",AF6="Dienstag",AF6="Mittwoch",AF6="Donnerstag",AF6="Freitag"),$E$2,IF(AF6="Samstag",$E$3,IF(AF6="Sonntag",$E$4,)))))</f>
        <v>#NAME?</v>
      </c>
      <c r="AG37" s="124"/>
      <c r="AH37" s="124"/>
      <c r="AI37" s="125"/>
      <c r="AJ37" s="213" t="str">
        <f>IF(AJ1="Feiertag",$E$5,IF(AJ4="schulfrei",$F$2,IF(OR(AJ6="Montag",AJ6="Dienstag",AJ6="Mittwoch",AJ6="Donnerstag",AJ6="Freitag"),$E$2,IF(AJ6="Samstag",$E$3,IF(AJ6="Sonntag",$E$4,)))))</f>
        <v>#NAME?</v>
      </c>
      <c r="AK37" s="124"/>
      <c r="AL37" s="124"/>
      <c r="AM37" s="125"/>
      <c r="AN37" s="213" t="str">
        <f>IF(AN1="Feiertag",$E$5,IF(AN4="schulfrei",$F$2,IF(OR(AN6="Montag",AN6="Dienstag",AN6="Mittwoch",AN6="Donnerstag",AN6="Freitag"),$E$2,IF(AN6="Samstag",$E$3,IF(AN6="Sonntag",$E$4,)))))</f>
        <v>#NAME?</v>
      </c>
      <c r="AO37" s="124"/>
      <c r="AP37" s="124"/>
      <c r="AQ37" s="125"/>
      <c r="AR37" s="213" t="str">
        <f>IF(AR1="Feiertag",$E$5,IF(AR4="schulfrei",$F$2,IF(OR(AR6="Montag",AR6="Dienstag",AR6="Mittwoch",AR6="Donnerstag",AR6="Freitag"),$E$2,IF(AR6="Samstag",$E$3,IF(AR6="Sonntag",$E$4,)))))</f>
        <v>#NAME?</v>
      </c>
      <c r="AS37" s="124"/>
      <c r="AT37" s="124"/>
      <c r="AU37" s="125"/>
      <c r="AV37" s="213" t="str">
        <f>IF(AV1="Feiertag",$E$5,IF(AV4="schulfrei",$F$2,IF(OR(AV6="Montag",AV6="Dienstag",AV6="Mittwoch",AV6="Donnerstag",AV6="Freitag"),$E$2,IF(AV6="Samstag",$E$3,IF(AV6="Sonntag",$E$4,)))))</f>
        <v>#NAME?</v>
      </c>
      <c r="AW37" s="124"/>
      <c r="AX37" s="124"/>
      <c r="AY37" s="125"/>
      <c r="AZ37" s="213" t="str">
        <f>IF(AZ1="Feiertag",$E$5,IF(AZ4="schulfrei",$F$2,IF(OR(AZ6="Montag",AZ6="Dienstag",AZ6="Mittwoch",AZ6="Donnerstag",AZ6="Freitag"),$E$2,IF(AZ6="Samstag",$E$3,IF(AZ6="Sonntag",$E$4,)))))</f>
        <v/>
      </c>
      <c r="BA37" s="124"/>
      <c r="BB37" s="124"/>
      <c r="BC37" s="125"/>
      <c r="BD37" s="213" t="str">
        <f>IF(BD1="Feiertag",$E$5,IF(BD4="schulfrei",$F$2,IF(OR(BD6="Montag",BD6="Dienstag",BD6="Mittwoch",BD6="Donnerstag",BD6="Freitag"),$E$2,IF(BD6="Samstag",$E$3,IF(BD6="Sonntag",$E$4,)))))</f>
        <v/>
      </c>
      <c r="BE37" s="124"/>
      <c r="BF37" s="124"/>
      <c r="BG37" s="125"/>
      <c r="BH37" s="213" t="str">
        <f>IF(BH1="Feiertag",$E$5,IF(BH4="schulfrei",$F$2,IF(OR(BH6="Montag",BH6="Dienstag",BH6="Mittwoch",BH6="Donnerstag",BH6="Freitag"),$E$2,IF(BH6="Samstag",$E$3,IF(BH6="Sonntag",$E$4,)))))</f>
        <v>#NAME?</v>
      </c>
      <c r="BI37" s="124"/>
      <c r="BJ37" s="124"/>
      <c r="BK37" s="125"/>
      <c r="BL37" s="213" t="str">
        <f>IF(BL1="Feiertag",$E$5,IF(BL4="schulfrei",$F$2,IF(OR(BL6="Montag",BL6="Dienstag",BL6="Mittwoch",BL6="Donnerstag",BL6="Freitag"),$E$2,IF(BL6="Samstag",$E$3,IF(BL6="Sonntag",$E$4,)))))</f>
        <v>#NAME?</v>
      </c>
      <c r="BM37" s="124"/>
      <c r="BN37" s="124"/>
      <c r="BO37" s="125"/>
      <c r="BP37" s="213" t="str">
        <f>IF(BP1="Feiertag",$E$5,IF(BP4="schulfrei",$F$2,IF(OR(BP6="Montag",BP6="Dienstag",BP6="Mittwoch",BP6="Donnerstag",BP6="Freitag"),$E$2,IF(BP6="Samstag",$E$3,IF(BP6="Sonntag",$E$4,)))))</f>
        <v>#NAME?</v>
      </c>
      <c r="BQ37" s="124"/>
      <c r="BR37" s="124"/>
      <c r="BS37" s="125"/>
      <c r="BT37" s="213" t="str">
        <f>IF(BT1="Feiertag",$E$5,IF(BT4="schulfrei",$F$2,IF(OR(BT6="Montag",BT6="Dienstag",BT6="Mittwoch",BT6="Donnerstag",BT6="Freitag"),$E$2,IF(BT6="Samstag",$E$3,IF(BT6="Sonntag",$E$4,)))))</f>
        <v>#NAME?</v>
      </c>
      <c r="BU37" s="124"/>
      <c r="BV37" s="124"/>
      <c r="BW37" s="125"/>
      <c r="BX37" s="213" t="str">
        <f>IF(BX1="Feiertag",$E$5,IF(BX4="schulfrei",$F$2,IF(OR(BX6="Montag",BX6="Dienstag",BX6="Mittwoch",BX6="Donnerstag",BX6="Freitag"),$E$2,IF(BX6="Samstag",$E$3,IF(BX6="Sonntag",$E$4,)))))</f>
        <v>#NAME?</v>
      </c>
      <c r="BY37" s="124"/>
      <c r="BZ37" s="124"/>
      <c r="CA37" s="125"/>
      <c r="CB37" s="213" t="str">
        <f>IF(CB1="Feiertag",$E$5,IF(CB4="schulfrei",$F$2,IF(OR(CB6="Montag",CB6="Dienstag",CB6="Mittwoch",CB6="Donnerstag",CB6="Freitag"),$E$2,IF(CB6="Samstag",$E$3,IF(CB6="Sonntag",$E$4,)))))</f>
        <v/>
      </c>
      <c r="CC37" s="124"/>
      <c r="CD37" s="124"/>
      <c r="CE37" s="125"/>
      <c r="CF37" s="213" t="str">
        <f>IF(CF1="Feiertag",$E$5,IF(CF4="schulfrei",$F$2,IF(OR(CF6="Montag",CF6="Dienstag",CF6="Mittwoch",CF6="Donnerstag",CF6="Freitag"),$E$2,IF(CF6="Samstag",$E$3,IF(CF6="Sonntag",$E$4,)))))</f>
        <v/>
      </c>
      <c r="CG37" s="124"/>
      <c r="CH37" s="124"/>
      <c r="CI37" s="125"/>
      <c r="CJ37" s="213" t="str">
        <f>IF(CJ1="Feiertag",$E$5,IF(CJ4="schulfrei",$F$2,IF(OR(CJ6="Montag",CJ6="Dienstag",CJ6="Mittwoch",CJ6="Donnerstag",CJ6="Freitag"),$E$2,IF(CJ6="Samstag",$E$3,IF(CJ6="Sonntag",$E$4,)))))</f>
        <v>#NAME?</v>
      </c>
      <c r="CK37" s="124"/>
      <c r="CL37" s="124"/>
      <c r="CM37" s="125"/>
      <c r="CN37" s="213" t="str">
        <f>IF(CN1="Feiertag",$E$5,IF(CN4="schulfrei",$F$2,IF(OR(CN6="Montag",CN6="Dienstag",CN6="Mittwoch",CN6="Donnerstag",CN6="Freitag"),$E$2,IF(CN6="Samstag",$E$3,IF(CN6="Sonntag",$E$4,)))))</f>
        <v>#NAME?</v>
      </c>
      <c r="CO37" s="124"/>
      <c r="CP37" s="124"/>
      <c r="CQ37" s="125"/>
      <c r="CR37" s="213" t="str">
        <f>IF(CR1="Feiertag",$E$5,IF(CR4="schulfrei",$F$2,IF(OR(CR6="Montag",CR6="Dienstag",CR6="Mittwoch",CR6="Donnerstag",CR6="Freitag"),$E$2,IF(CR6="Samstag",$E$3,IF(CR6="Sonntag",$E$4,)))))</f>
        <v>#NAME?</v>
      </c>
      <c r="CS37" s="124"/>
      <c r="CT37" s="124"/>
      <c r="CU37" s="125"/>
      <c r="CV37" s="213" t="str">
        <f>IF(CV1="Feiertag",$E$5,IF(CV4="schulfrei",$F$2,IF(OR(CV6="Montag",CV6="Dienstag",CV6="Mittwoch",CV6="Donnerstag",CV6="Freitag"),$E$2,IF(CV6="Samstag",$E$3,IF(CV6="Sonntag",$E$4,)))))</f>
        <v>#NAME?</v>
      </c>
      <c r="CW37" s="124"/>
      <c r="CX37" s="124"/>
      <c r="CY37" s="125"/>
      <c r="CZ37" s="213" t="str">
        <f>IF(CZ1="Feiertag",$E$5,IF(CZ4="schulfrei",$F$2,IF(OR(CZ6="Montag",CZ6="Dienstag",CZ6="Mittwoch",CZ6="Donnerstag",CZ6="Freitag"),$E$2,IF(CZ6="Samstag",$E$3,IF(CZ6="Sonntag",$E$4,)))))</f>
        <v>#NAME?</v>
      </c>
      <c r="DA37" s="124"/>
      <c r="DB37" s="124"/>
      <c r="DC37" s="125"/>
      <c r="DD37" s="213" t="str">
        <f>IF(DD1="Feiertag",$E$5,IF(DD4="schulfrei",$F$2,IF(OR(DD6="Montag",DD6="Dienstag",DD6="Mittwoch",DD6="Donnerstag",DD6="Freitag"),$E$2,IF(DD6="Samstag",$E$3,IF(DD6="Sonntag",$E$4,)))))</f>
        <v/>
      </c>
      <c r="DE37" s="124"/>
      <c r="DF37" s="124"/>
      <c r="DG37" s="125"/>
      <c r="DH37" s="213" t="str">
        <f>IF(DH1="Feiertag",$E$5,IF(DH4="schulfrei",$F$2,IF(OR(DH6="Montag",DH6="Dienstag",DH6="Mittwoch",DH6="Donnerstag",DH6="Freitag"),$E$2,IF(DH6="Samstag",$E$3,IF(DH6="Sonntag",$E$4,)))))</f>
        <v/>
      </c>
      <c r="DI37" s="124"/>
      <c r="DJ37" s="124"/>
      <c r="DK37" s="125"/>
      <c r="DL37" s="213" t="str">
        <f>IF(DL1="Feiertag",$E$5,IF(DL4="schulfrei",$F$2,IF(OR(DL6="Montag",DL6="Dienstag",DL6="Mittwoch",DL6="Donnerstag",DL6="Freitag"),$E$2,IF(DL6="Samstag",$E$3,IF(DL6="Sonntag",$E$4,)))))</f>
        <v>#NAME?</v>
      </c>
      <c r="DM37" s="124"/>
      <c r="DN37" s="124"/>
      <c r="DO37" s="125"/>
      <c r="DP37" s="213" t="str">
        <f>IF(DP1="Feiertag",$E$5,IF(DP4="schulfrei",$F$2,IF(OR(DP6="Montag",DP6="Dienstag",DP6="Mittwoch",DP6="Donnerstag",DP6="Freitag"),$E$2,IF(DP6="Samstag",$E$3,IF(DP6="Sonntag",$E$4,)))))</f>
        <v>#NAME?</v>
      </c>
      <c r="DQ37" s="124"/>
      <c r="DR37" s="124"/>
      <c r="DS37" s="125"/>
      <c r="DT37" s="213" t="str">
        <f>IF(DT1="Feiertag",$E$5,IF(DT4="schulfrei",$F$2,IF(OR(DT6="Montag",DT6="Dienstag",DT6="Mittwoch",DT6="Donnerstag",DT6="Freitag"),$E$2,IF(DT6="Samstag",$E$3,IF(DT6="Sonntag",$E$4,)))))</f>
        <v>#NAME?</v>
      </c>
      <c r="DU37" s="124"/>
      <c r="DV37" s="124"/>
      <c r="DW37" s="125"/>
      <c r="DX37" s="213" t="str">
        <f>IF(DX1="Feiertag",$E$5,IF(DX4="schulfrei",$F$2,IF(OR(DX6="Montag",DX6="Dienstag",DX6="Mittwoch",DX6="Donnerstag",DX6="Freitag"),$E$2,IF(DX6="Samstag",$E$3,IF(DX6="Sonntag",$E$4,)))))</f>
        <v>#NAME?</v>
      </c>
      <c r="DY37" s="124"/>
      <c r="DZ37" s="124"/>
      <c r="EA37" s="125"/>
      <c r="EB37" s="203" t="str">
        <f>SUM(H37:EA37)</f>
        <v>#NAME?</v>
      </c>
      <c r="EC37" s="126"/>
      <c r="ED37" s="3"/>
      <c r="EE37" s="3"/>
      <c r="EF37" s="3"/>
      <c r="EG37" s="3"/>
    </row>
    <row r="38" ht="16.5" customHeight="1">
      <c r="A38" s="3"/>
      <c r="B38" s="211"/>
      <c r="C38" s="204"/>
      <c r="D38" s="204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126"/>
      <c r="ED38" s="3"/>
      <c r="EE38" s="3"/>
      <c r="EF38" s="3"/>
      <c r="EG38" s="3"/>
    </row>
    <row r="39" ht="16.5" customHeight="1">
      <c r="A39" s="214" t="s">
        <v>272</v>
      </c>
      <c r="B39" s="3"/>
      <c r="C39" s="215">
        <v>1.125</v>
      </c>
      <c r="D39" s="216" t="s">
        <v>273</v>
      </c>
      <c r="E39" s="217"/>
      <c r="F39" s="217"/>
      <c r="G39" s="3"/>
      <c r="H39" s="134"/>
      <c r="K39" s="134"/>
      <c r="L39" s="134"/>
      <c r="O39" s="134"/>
      <c r="P39" s="134"/>
      <c r="S39" s="134"/>
      <c r="T39" s="134"/>
      <c r="W39" s="134"/>
      <c r="X39" s="134"/>
      <c r="AA39" s="134"/>
      <c r="AB39" s="134"/>
      <c r="AE39" s="134"/>
      <c r="AF39" s="134"/>
      <c r="AI39" s="134"/>
      <c r="AJ39" s="134"/>
      <c r="AM39" s="134"/>
      <c r="AN39" s="134"/>
      <c r="AQ39" s="134"/>
      <c r="AR39" s="134"/>
      <c r="AU39" s="134"/>
      <c r="AV39" s="134"/>
      <c r="AY39" s="134"/>
      <c r="AZ39" s="134"/>
      <c r="BC39" s="134"/>
      <c r="BD39" s="134"/>
      <c r="BG39" s="134"/>
      <c r="BH39" s="134"/>
      <c r="BK39" s="134"/>
      <c r="BL39" s="134"/>
      <c r="BO39" s="134"/>
      <c r="BP39" s="134"/>
      <c r="BS39" s="134"/>
      <c r="BT39" s="134"/>
      <c r="BW39" s="134"/>
      <c r="BX39" s="134"/>
      <c r="CA39" s="134"/>
      <c r="CB39" s="134"/>
      <c r="CE39" s="134"/>
      <c r="CF39" s="134"/>
      <c r="CI39" s="134"/>
      <c r="CJ39" s="134"/>
      <c r="CM39" s="134"/>
      <c r="CN39" s="134"/>
      <c r="CQ39" s="134"/>
      <c r="CR39" s="134"/>
      <c r="CU39" s="134"/>
      <c r="CV39" s="134"/>
      <c r="CY39" s="134"/>
      <c r="CZ39" s="134"/>
      <c r="DC39" s="134"/>
      <c r="DD39" s="134"/>
      <c r="DG39" s="134"/>
      <c r="DH39" s="134"/>
      <c r="DK39" s="134"/>
      <c r="DL39" s="134"/>
      <c r="DO39" s="134"/>
      <c r="DP39" s="134"/>
      <c r="DS39" s="134"/>
      <c r="DT39" s="134"/>
      <c r="DW39" s="134"/>
      <c r="DX39" s="134"/>
      <c r="EA39" s="134"/>
      <c r="EB39" s="3"/>
      <c r="EC39" s="126"/>
      <c r="ED39" s="3"/>
      <c r="EE39" s="3"/>
      <c r="EF39" s="3"/>
      <c r="EG39" s="3"/>
    </row>
    <row r="40" ht="16.5" customHeight="1">
      <c r="A40" s="3"/>
      <c r="B40" s="3"/>
      <c r="C40" s="3"/>
      <c r="D40" s="3"/>
      <c r="E40" s="3"/>
      <c r="F40" s="3"/>
      <c r="H40" s="134"/>
      <c r="K40" s="134"/>
      <c r="L40" s="134"/>
      <c r="O40" s="134"/>
      <c r="P40" s="134"/>
      <c r="S40" s="134"/>
      <c r="T40" s="134"/>
      <c r="W40" s="134"/>
      <c r="X40" s="134"/>
      <c r="AA40" s="134"/>
      <c r="AB40" s="134"/>
      <c r="AE40" s="134"/>
      <c r="AF40" s="134"/>
      <c r="AI40" s="134"/>
      <c r="AJ40" s="134"/>
      <c r="AM40" s="134"/>
      <c r="AN40" s="134"/>
      <c r="AQ40" s="134"/>
      <c r="AR40" s="134"/>
      <c r="AU40" s="134"/>
      <c r="AV40" s="134"/>
      <c r="AY40" s="134"/>
      <c r="AZ40" s="134"/>
      <c r="BC40" s="134"/>
      <c r="BD40" s="134"/>
      <c r="BG40" s="134"/>
      <c r="BH40" s="134"/>
      <c r="BK40" s="134"/>
      <c r="BL40" s="134"/>
      <c r="BO40" s="134"/>
      <c r="BP40" s="134"/>
      <c r="BS40" s="134"/>
      <c r="BT40" s="134"/>
      <c r="BW40" s="134"/>
      <c r="BX40" s="134"/>
      <c r="CA40" s="134"/>
      <c r="CB40" s="134"/>
      <c r="CE40" s="134"/>
      <c r="CF40" s="134"/>
      <c r="CI40" s="134"/>
      <c r="CJ40" s="134"/>
      <c r="CM40" s="134"/>
      <c r="CN40" s="134"/>
      <c r="CQ40" s="134"/>
      <c r="CR40" s="134"/>
      <c r="CU40" s="134"/>
      <c r="CV40" s="134"/>
      <c r="CY40" s="134"/>
      <c r="CZ40" s="134"/>
      <c r="DC40" s="134"/>
      <c r="DD40" s="134"/>
      <c r="DG40" s="134"/>
      <c r="DH40" s="134"/>
      <c r="DK40" s="134"/>
      <c r="DL40" s="134"/>
      <c r="DO40" s="134"/>
      <c r="DP40" s="134"/>
      <c r="DS40" s="134"/>
      <c r="DT40" s="134"/>
      <c r="DW40" s="134"/>
      <c r="DX40" s="134"/>
      <c r="EA40" s="134"/>
      <c r="EB40" s="3"/>
      <c r="EC40" s="126"/>
      <c r="ED40" s="3"/>
      <c r="EE40" s="3"/>
      <c r="EF40" s="3"/>
      <c r="EG40" s="3"/>
    </row>
    <row r="41" ht="16.5" customHeight="1">
      <c r="A41" s="218" t="s">
        <v>274</v>
      </c>
      <c r="B41" s="3"/>
      <c r="C41" s="3"/>
      <c r="D41" s="3"/>
      <c r="E41" s="3"/>
      <c r="F41" s="3"/>
      <c r="H41" s="134"/>
      <c r="K41" s="134"/>
      <c r="L41" s="134"/>
      <c r="O41" s="134"/>
      <c r="P41" s="134"/>
      <c r="S41" s="134"/>
      <c r="T41" s="134"/>
      <c r="W41" s="134"/>
      <c r="X41" s="134"/>
      <c r="AA41" s="134"/>
      <c r="AB41" s="134"/>
      <c r="AE41" s="134"/>
      <c r="AF41" s="134"/>
      <c r="AI41" s="134"/>
      <c r="AJ41" s="134"/>
      <c r="AM41" s="134"/>
      <c r="AN41" s="134"/>
      <c r="AQ41" s="134"/>
      <c r="AR41" s="134"/>
      <c r="AU41" s="134"/>
      <c r="AV41" s="134"/>
      <c r="AY41" s="134"/>
      <c r="AZ41" s="134"/>
      <c r="BC41" s="134"/>
      <c r="BD41" s="134"/>
      <c r="BG41" s="134"/>
      <c r="BH41" s="134"/>
      <c r="BK41" s="134"/>
      <c r="BL41" s="134"/>
      <c r="BO41" s="134"/>
      <c r="BP41" s="134"/>
      <c r="BS41" s="134"/>
      <c r="BT41" s="134"/>
      <c r="BW41" s="134"/>
      <c r="BX41" s="134"/>
      <c r="CA41" s="134"/>
      <c r="CB41" s="134"/>
      <c r="CE41" s="134"/>
      <c r="CF41" s="134"/>
      <c r="CI41" s="134"/>
      <c r="CJ41" s="134"/>
      <c r="CM41" s="134"/>
      <c r="CN41" s="134"/>
      <c r="CQ41" s="134"/>
      <c r="CR41" s="134"/>
      <c r="CU41" s="134"/>
      <c r="CV41" s="134"/>
      <c r="CY41" s="134"/>
      <c r="CZ41" s="134"/>
      <c r="DC41" s="134"/>
      <c r="DD41" s="134"/>
      <c r="DG41" s="134"/>
      <c r="DH41" s="134"/>
      <c r="DK41" s="134"/>
      <c r="DL41" s="134"/>
      <c r="DO41" s="134"/>
      <c r="DP41" s="134"/>
      <c r="DS41" s="134"/>
      <c r="DT41" s="134"/>
      <c r="DW41" s="134"/>
      <c r="DX41" s="134"/>
      <c r="EA41" s="134"/>
      <c r="EB41" s="3"/>
      <c r="EC41" s="126"/>
      <c r="ED41" s="3"/>
      <c r="EE41" s="3"/>
      <c r="EF41" s="3"/>
      <c r="EG41" s="3"/>
    </row>
    <row r="42" ht="16.5" customHeight="1">
      <c r="A42" s="3" t="s">
        <v>275</v>
      </c>
      <c r="B42" s="3"/>
      <c r="C42" s="3"/>
      <c r="D42" s="3"/>
      <c r="E42" s="3"/>
      <c r="F42" s="3"/>
      <c r="H42" s="134"/>
      <c r="K42" s="134"/>
      <c r="L42" s="134"/>
      <c r="O42" s="134"/>
      <c r="P42" s="134"/>
      <c r="S42" s="134"/>
      <c r="T42" s="134"/>
      <c r="W42" s="134"/>
      <c r="X42" s="134"/>
      <c r="AA42" s="134"/>
      <c r="AB42" s="134"/>
      <c r="AE42" s="134"/>
      <c r="AF42" s="134"/>
      <c r="AI42" s="134"/>
      <c r="AJ42" s="134"/>
      <c r="AM42" s="134"/>
      <c r="AN42" s="134"/>
      <c r="AQ42" s="134"/>
      <c r="AR42" s="134"/>
      <c r="AU42" s="134"/>
      <c r="AV42" s="134"/>
      <c r="AY42" s="134"/>
      <c r="AZ42" s="134"/>
      <c r="BC42" s="134"/>
      <c r="BD42" s="134"/>
      <c r="BG42" s="134"/>
      <c r="BH42" s="134"/>
      <c r="BK42" s="134"/>
      <c r="BL42" s="134"/>
      <c r="BO42" s="134"/>
      <c r="BP42" s="134"/>
      <c r="BS42" s="134"/>
      <c r="BT42" s="134"/>
      <c r="BW42" s="134"/>
      <c r="BX42" s="134"/>
      <c r="CA42" s="134"/>
      <c r="CB42" s="134"/>
      <c r="CE42" s="134"/>
      <c r="CF42" s="134"/>
      <c r="CI42" s="134"/>
      <c r="CJ42" s="134"/>
      <c r="CM42" s="134"/>
      <c r="CN42" s="134"/>
      <c r="CQ42" s="134"/>
      <c r="CR42" s="134"/>
      <c r="CU42" s="134"/>
      <c r="CV42" s="134"/>
      <c r="CY42" s="134"/>
      <c r="CZ42" s="134"/>
      <c r="DC42" s="134"/>
      <c r="DD42" s="134"/>
      <c r="DG42" s="134"/>
      <c r="DH42" s="134"/>
      <c r="DK42" s="134"/>
      <c r="DL42" s="134"/>
      <c r="DO42" s="134"/>
      <c r="DP42" s="134"/>
      <c r="DS42" s="134"/>
      <c r="DT42" s="134"/>
      <c r="DW42" s="134"/>
      <c r="DX42" s="134"/>
      <c r="EA42" s="134"/>
      <c r="EB42" s="3"/>
      <c r="EC42" s="126"/>
      <c r="ED42" s="3"/>
      <c r="EE42" s="3"/>
      <c r="EF42" s="3"/>
      <c r="EG42" s="3"/>
    </row>
    <row r="43" ht="16.5" customHeight="1">
      <c r="A43" s="3" t="s">
        <v>276</v>
      </c>
      <c r="B43" s="3"/>
      <c r="C43" s="3"/>
      <c r="D43" s="3"/>
      <c r="E43" s="3"/>
      <c r="F43" s="3"/>
      <c r="H43" s="134"/>
      <c r="K43" s="134"/>
      <c r="L43" s="134"/>
      <c r="O43" s="134"/>
      <c r="P43" s="134"/>
      <c r="S43" s="134"/>
      <c r="T43" s="134"/>
      <c r="W43" s="134"/>
      <c r="X43" s="134"/>
      <c r="AA43" s="134"/>
      <c r="AB43" s="134"/>
      <c r="AE43" s="134"/>
      <c r="AF43" s="134"/>
      <c r="AI43" s="134"/>
      <c r="AJ43" s="134"/>
      <c r="AM43" s="134"/>
      <c r="AN43" s="134"/>
      <c r="AQ43" s="134"/>
      <c r="AR43" s="134"/>
      <c r="AU43" s="134"/>
      <c r="AV43" s="134"/>
      <c r="AY43" s="134"/>
      <c r="AZ43" s="134"/>
      <c r="BC43" s="134"/>
      <c r="BD43" s="134"/>
      <c r="BG43" s="134"/>
      <c r="BH43" s="134"/>
      <c r="BK43" s="134"/>
      <c r="BL43" s="134"/>
      <c r="BO43" s="134"/>
      <c r="BP43" s="134"/>
      <c r="BS43" s="134"/>
      <c r="BT43" s="134"/>
      <c r="BW43" s="134"/>
      <c r="BX43" s="134"/>
      <c r="CA43" s="134"/>
      <c r="CB43" s="134"/>
      <c r="CE43" s="134"/>
      <c r="CF43" s="134"/>
      <c r="CI43" s="134"/>
      <c r="CJ43" s="134"/>
      <c r="CM43" s="134"/>
      <c r="CN43" s="134"/>
      <c r="CQ43" s="134"/>
      <c r="CR43" s="134"/>
      <c r="CU43" s="134"/>
      <c r="CV43" s="134"/>
      <c r="CY43" s="134"/>
      <c r="CZ43" s="134"/>
      <c r="DC43" s="134"/>
      <c r="DD43" s="134"/>
      <c r="DG43" s="134"/>
      <c r="DH43" s="134"/>
      <c r="DK43" s="134"/>
      <c r="DL43" s="134"/>
      <c r="DO43" s="134"/>
      <c r="DP43" s="134"/>
      <c r="DS43" s="134"/>
      <c r="DT43" s="134"/>
      <c r="DW43" s="134"/>
      <c r="DX43" s="134"/>
      <c r="EA43" s="134"/>
      <c r="EB43" s="3"/>
      <c r="EC43" s="126"/>
      <c r="ED43" s="3"/>
      <c r="EE43" s="3"/>
      <c r="EF43" s="3"/>
      <c r="EG43" s="3"/>
    </row>
    <row r="44" ht="16.5" customHeight="1">
      <c r="A44" s="3" t="s">
        <v>277</v>
      </c>
      <c r="B44" s="3"/>
      <c r="C44" s="3"/>
      <c r="D44" s="3"/>
      <c r="E44" s="3"/>
      <c r="F44" s="3"/>
      <c r="H44" s="134"/>
      <c r="K44" s="134"/>
      <c r="L44" s="134"/>
      <c r="O44" s="134"/>
      <c r="P44" s="134"/>
      <c r="S44" s="134"/>
      <c r="T44" s="134"/>
      <c r="W44" s="134"/>
      <c r="X44" s="134"/>
      <c r="AA44" s="134"/>
      <c r="AB44" s="134"/>
      <c r="AE44" s="134"/>
      <c r="AF44" s="134"/>
      <c r="AI44" s="134"/>
      <c r="AJ44" s="134"/>
      <c r="AM44" s="134"/>
      <c r="AN44" s="134"/>
      <c r="AQ44" s="134"/>
      <c r="AR44" s="134"/>
      <c r="AU44" s="134"/>
      <c r="AV44" s="134"/>
      <c r="AY44" s="134"/>
      <c r="AZ44" s="134"/>
      <c r="BC44" s="134"/>
      <c r="BD44" s="134"/>
      <c r="BG44" s="134"/>
      <c r="BH44" s="134"/>
      <c r="BK44" s="134"/>
      <c r="BL44" s="134"/>
      <c r="BO44" s="134"/>
      <c r="BP44" s="134"/>
      <c r="BS44" s="134"/>
      <c r="BT44" s="134"/>
      <c r="BW44" s="134"/>
      <c r="BX44" s="134"/>
      <c r="CA44" s="134"/>
      <c r="CB44" s="134"/>
      <c r="CE44" s="134"/>
      <c r="CF44" s="134"/>
      <c r="CI44" s="134"/>
      <c r="CJ44" s="134"/>
      <c r="CM44" s="134"/>
      <c r="CN44" s="134"/>
      <c r="CQ44" s="134"/>
      <c r="CR44" s="134"/>
      <c r="CU44" s="134"/>
      <c r="CV44" s="134"/>
      <c r="CY44" s="134"/>
      <c r="CZ44" s="134"/>
      <c r="DC44" s="134"/>
      <c r="DD44" s="134"/>
      <c r="DG44" s="134"/>
      <c r="DH44" s="134"/>
      <c r="DK44" s="134"/>
      <c r="DL44" s="134"/>
      <c r="DO44" s="134"/>
      <c r="DP44" s="134"/>
      <c r="DS44" s="134"/>
      <c r="DT44" s="134"/>
      <c r="DW44" s="134"/>
      <c r="DX44" s="134"/>
      <c r="EA44" s="134"/>
      <c r="EB44" s="3"/>
      <c r="EC44" s="126"/>
      <c r="ED44" s="3"/>
      <c r="EE44" s="3"/>
      <c r="EF44" s="3"/>
      <c r="EG44" s="3"/>
    </row>
    <row r="45" ht="16.5" customHeight="1">
      <c r="A45" s="3"/>
      <c r="B45" s="3"/>
      <c r="C45" s="3"/>
      <c r="D45" s="3"/>
      <c r="E45" s="3"/>
      <c r="F45" s="3"/>
      <c r="H45" s="134"/>
      <c r="K45" s="134"/>
      <c r="L45" s="134"/>
      <c r="O45" s="134"/>
      <c r="P45" s="134"/>
      <c r="S45" s="134"/>
      <c r="T45" s="134"/>
      <c r="W45" s="134"/>
      <c r="X45" s="134"/>
      <c r="AA45" s="134"/>
      <c r="AB45" s="134"/>
      <c r="AE45" s="134"/>
      <c r="AF45" s="134"/>
      <c r="AI45" s="134"/>
      <c r="AJ45" s="134"/>
      <c r="AM45" s="134"/>
      <c r="AN45" s="134"/>
      <c r="AQ45" s="134"/>
      <c r="AR45" s="134"/>
      <c r="AU45" s="134"/>
      <c r="AV45" s="134"/>
      <c r="AY45" s="134"/>
      <c r="AZ45" s="134"/>
      <c r="BC45" s="134"/>
      <c r="BD45" s="134"/>
      <c r="BG45" s="134"/>
      <c r="BH45" s="134"/>
      <c r="BK45" s="134"/>
      <c r="BL45" s="134"/>
      <c r="BO45" s="134"/>
      <c r="BP45" s="134"/>
      <c r="BS45" s="134"/>
      <c r="BT45" s="134"/>
      <c r="BW45" s="134"/>
      <c r="BX45" s="134"/>
      <c r="CA45" s="134"/>
      <c r="CB45" s="134"/>
      <c r="CE45" s="134"/>
      <c r="CF45" s="134"/>
      <c r="CI45" s="134"/>
      <c r="CJ45" s="134"/>
      <c r="CM45" s="134"/>
      <c r="CN45" s="134"/>
      <c r="CQ45" s="134"/>
      <c r="CR45" s="134"/>
      <c r="CU45" s="134"/>
      <c r="CV45" s="134"/>
      <c r="CY45" s="134"/>
      <c r="CZ45" s="134"/>
      <c r="DC45" s="134"/>
      <c r="DD45" s="134"/>
      <c r="DG45" s="134"/>
      <c r="DH45" s="134"/>
      <c r="DK45" s="134"/>
      <c r="DL45" s="134"/>
      <c r="DO45" s="134"/>
      <c r="DP45" s="134"/>
      <c r="DS45" s="134"/>
      <c r="DT45" s="134"/>
      <c r="DW45" s="134"/>
      <c r="DX45" s="134"/>
      <c r="EA45" s="134"/>
      <c r="EB45" s="3"/>
      <c r="EC45" s="126"/>
      <c r="ED45" s="3"/>
      <c r="EE45" s="3"/>
      <c r="EF45" s="3"/>
      <c r="EG45" s="3"/>
    </row>
    <row r="46" ht="16.5" customHeight="1">
      <c r="A46" s="3"/>
      <c r="B46" s="3"/>
      <c r="C46" s="3"/>
      <c r="D46" s="3"/>
      <c r="E46" s="3"/>
      <c r="F46" s="3"/>
      <c r="H46" s="134"/>
      <c r="K46" s="134"/>
      <c r="L46" s="134"/>
      <c r="O46" s="134"/>
      <c r="P46" s="134"/>
      <c r="S46" s="134"/>
      <c r="T46" s="134"/>
      <c r="W46" s="134"/>
      <c r="X46" s="134"/>
      <c r="AA46" s="134"/>
      <c r="AB46" s="134"/>
      <c r="AE46" s="134"/>
      <c r="AF46" s="134"/>
      <c r="AI46" s="134"/>
      <c r="AJ46" s="134"/>
      <c r="AM46" s="134"/>
      <c r="AN46" s="134"/>
      <c r="AQ46" s="134"/>
      <c r="AR46" s="134"/>
      <c r="AU46" s="134"/>
      <c r="AV46" s="134"/>
      <c r="AY46" s="134"/>
      <c r="AZ46" s="134"/>
      <c r="BC46" s="134"/>
      <c r="BD46" s="134"/>
      <c r="BG46" s="134"/>
      <c r="BH46" s="134"/>
      <c r="BK46" s="134"/>
      <c r="BL46" s="134"/>
      <c r="BO46" s="134"/>
      <c r="BP46" s="134"/>
      <c r="BS46" s="134"/>
      <c r="BT46" s="134"/>
      <c r="BW46" s="134"/>
      <c r="BX46" s="134"/>
      <c r="CA46" s="134"/>
      <c r="CB46" s="134"/>
      <c r="CE46" s="134"/>
      <c r="CF46" s="134"/>
      <c r="CI46" s="134"/>
      <c r="CJ46" s="134"/>
      <c r="CM46" s="134"/>
      <c r="CN46" s="134"/>
      <c r="CQ46" s="134"/>
      <c r="CR46" s="134"/>
      <c r="CU46" s="134"/>
      <c r="CV46" s="134"/>
      <c r="CY46" s="134"/>
      <c r="CZ46" s="134"/>
      <c r="DC46" s="134"/>
      <c r="DD46" s="134"/>
      <c r="DG46" s="134"/>
      <c r="DH46" s="134"/>
      <c r="DK46" s="134"/>
      <c r="DL46" s="134"/>
      <c r="DO46" s="134"/>
      <c r="DP46" s="134"/>
      <c r="DS46" s="134"/>
      <c r="DT46" s="134"/>
      <c r="DW46" s="134"/>
      <c r="DX46" s="134"/>
      <c r="EA46" s="134"/>
      <c r="EB46" s="3"/>
      <c r="EC46" s="126"/>
      <c r="ED46" s="3"/>
      <c r="EE46" s="3"/>
      <c r="EF46" s="3"/>
      <c r="EG46" s="3"/>
    </row>
    <row r="47" ht="16.5" customHeight="1">
      <c r="A47" s="3"/>
      <c r="B47" s="29"/>
      <c r="C47" s="3"/>
      <c r="D47" s="3"/>
      <c r="E47" s="3"/>
      <c r="F47" s="3"/>
      <c r="H47" s="134"/>
      <c r="K47" s="134"/>
      <c r="L47" s="134"/>
      <c r="O47" s="134"/>
      <c r="P47" s="134"/>
      <c r="S47" s="134"/>
      <c r="T47" s="134"/>
      <c r="W47" s="134"/>
      <c r="X47" s="134"/>
      <c r="AA47" s="134"/>
      <c r="AB47" s="134"/>
      <c r="AE47" s="134"/>
      <c r="AF47" s="134"/>
      <c r="AI47" s="134"/>
      <c r="AJ47" s="134"/>
      <c r="AM47" s="134"/>
      <c r="AN47" s="134"/>
      <c r="AQ47" s="134"/>
      <c r="AR47" s="134"/>
      <c r="AU47" s="134"/>
      <c r="AV47" s="134"/>
      <c r="AY47" s="134"/>
      <c r="AZ47" s="134"/>
      <c r="BC47" s="134"/>
      <c r="BD47" s="134"/>
      <c r="BG47" s="134"/>
      <c r="BH47" s="134"/>
      <c r="BK47" s="134"/>
      <c r="BL47" s="134"/>
      <c r="BO47" s="134"/>
      <c r="BP47" s="134"/>
      <c r="BS47" s="134"/>
      <c r="BT47" s="134"/>
      <c r="BW47" s="134"/>
      <c r="BX47" s="134"/>
      <c r="CA47" s="134"/>
      <c r="CB47" s="134"/>
      <c r="CE47" s="134"/>
      <c r="CF47" s="134"/>
      <c r="CI47" s="134"/>
      <c r="CJ47" s="134"/>
      <c r="CM47" s="134"/>
      <c r="CN47" s="134"/>
      <c r="CQ47" s="134"/>
      <c r="CR47" s="134"/>
      <c r="CU47" s="134"/>
      <c r="CV47" s="134"/>
      <c r="CY47" s="134"/>
      <c r="CZ47" s="134"/>
      <c r="DC47" s="134"/>
      <c r="DD47" s="134"/>
      <c r="DG47" s="134"/>
      <c r="DH47" s="134"/>
      <c r="DK47" s="134"/>
      <c r="DL47" s="134"/>
      <c r="DO47" s="134"/>
      <c r="DP47" s="134"/>
      <c r="DS47" s="134"/>
      <c r="DT47" s="134"/>
      <c r="DW47" s="134"/>
      <c r="DX47" s="134"/>
      <c r="EA47" s="134"/>
      <c r="EB47" s="3"/>
      <c r="EC47" s="126"/>
      <c r="ED47" s="3"/>
      <c r="EE47" s="3"/>
      <c r="EF47" s="3"/>
      <c r="EG47" s="3"/>
    </row>
    <row r="48" ht="16.5" customHeight="1">
      <c r="A48" s="3"/>
      <c r="B48" s="3"/>
      <c r="C48" s="3"/>
      <c r="D48" s="3"/>
      <c r="E48" s="3"/>
      <c r="F48" s="3"/>
      <c r="H48" s="134"/>
      <c r="K48" s="134"/>
      <c r="L48" s="134"/>
      <c r="O48" s="134"/>
      <c r="P48" s="134"/>
      <c r="S48" s="134"/>
      <c r="T48" s="134"/>
      <c r="W48" s="134"/>
      <c r="X48" s="134"/>
      <c r="AA48" s="134"/>
      <c r="AB48" s="134"/>
      <c r="AE48" s="134"/>
      <c r="AF48" s="134"/>
      <c r="AI48" s="134"/>
      <c r="AJ48" s="134"/>
      <c r="AM48" s="134"/>
      <c r="AN48" s="134"/>
      <c r="AQ48" s="134"/>
      <c r="AR48" s="134"/>
      <c r="AU48" s="134"/>
      <c r="AV48" s="134"/>
      <c r="AY48" s="134"/>
      <c r="AZ48" s="134"/>
      <c r="BC48" s="134"/>
      <c r="BD48" s="134"/>
      <c r="BG48" s="134"/>
      <c r="BH48" s="134"/>
      <c r="BK48" s="134"/>
      <c r="BL48" s="134"/>
      <c r="BO48" s="134"/>
      <c r="BP48" s="134"/>
      <c r="BS48" s="134"/>
      <c r="BT48" s="134"/>
      <c r="BW48" s="134"/>
      <c r="BX48" s="134"/>
      <c r="CA48" s="134"/>
      <c r="CB48" s="134"/>
      <c r="CE48" s="134"/>
      <c r="CF48" s="134"/>
      <c r="CI48" s="134"/>
      <c r="CJ48" s="134"/>
      <c r="CM48" s="134"/>
      <c r="CN48" s="134"/>
      <c r="CQ48" s="134"/>
      <c r="CR48" s="134"/>
      <c r="CU48" s="134"/>
      <c r="CV48" s="134"/>
      <c r="CY48" s="134"/>
      <c r="CZ48" s="134"/>
      <c r="DC48" s="134"/>
      <c r="DD48" s="134"/>
      <c r="DG48" s="134"/>
      <c r="DH48" s="134"/>
      <c r="DK48" s="134"/>
      <c r="DL48" s="134"/>
      <c r="DO48" s="134"/>
      <c r="DP48" s="134"/>
      <c r="DS48" s="134"/>
      <c r="DT48" s="134"/>
      <c r="DW48" s="134"/>
      <c r="DX48" s="134"/>
      <c r="EA48" s="134"/>
      <c r="EB48" s="3"/>
      <c r="EC48" s="126"/>
      <c r="ED48" s="3"/>
      <c r="EE48" s="3"/>
      <c r="EF48" s="3"/>
      <c r="EG48" s="3"/>
    </row>
    <row r="49" ht="16.5" customHeight="1">
      <c r="A49" s="3"/>
      <c r="B49" s="3"/>
      <c r="C49" s="3"/>
      <c r="D49" s="3"/>
      <c r="E49" s="3"/>
      <c r="F49" s="3"/>
      <c r="H49" s="134"/>
      <c r="K49" s="134"/>
      <c r="L49" s="134"/>
      <c r="O49" s="134"/>
      <c r="P49" s="134"/>
      <c r="S49" s="134"/>
      <c r="T49" s="134"/>
      <c r="W49" s="134"/>
      <c r="X49" s="134"/>
      <c r="AA49" s="134"/>
      <c r="AB49" s="134"/>
      <c r="AE49" s="134"/>
      <c r="AF49" s="134"/>
      <c r="AI49" s="134"/>
      <c r="AJ49" s="134"/>
      <c r="AM49" s="134"/>
      <c r="AN49" s="134"/>
      <c r="AQ49" s="134"/>
      <c r="AR49" s="134"/>
      <c r="AU49" s="134"/>
      <c r="AV49" s="134"/>
      <c r="AY49" s="134"/>
      <c r="AZ49" s="134"/>
      <c r="BC49" s="134"/>
      <c r="BD49" s="134"/>
      <c r="BG49" s="134"/>
      <c r="BH49" s="134"/>
      <c r="BK49" s="134"/>
      <c r="BL49" s="134"/>
      <c r="BO49" s="134"/>
      <c r="BP49" s="134"/>
      <c r="BS49" s="134"/>
      <c r="BT49" s="134"/>
      <c r="BW49" s="134"/>
      <c r="BX49" s="134"/>
      <c r="CA49" s="134"/>
      <c r="CB49" s="134"/>
      <c r="CE49" s="134"/>
      <c r="CF49" s="134"/>
      <c r="CI49" s="134"/>
      <c r="CJ49" s="134"/>
      <c r="CM49" s="134"/>
      <c r="CN49" s="134"/>
      <c r="CQ49" s="134"/>
      <c r="CR49" s="134"/>
      <c r="CU49" s="134"/>
      <c r="CV49" s="134"/>
      <c r="CY49" s="134"/>
      <c r="CZ49" s="134"/>
      <c r="DC49" s="134"/>
      <c r="DD49" s="134"/>
      <c r="DG49" s="134"/>
      <c r="DH49" s="134"/>
      <c r="DK49" s="134"/>
      <c r="DL49" s="134"/>
      <c r="DO49" s="134"/>
      <c r="DP49" s="134"/>
      <c r="DS49" s="134"/>
      <c r="DT49" s="134"/>
      <c r="DW49" s="134"/>
      <c r="DX49" s="134"/>
      <c r="EA49" s="134"/>
      <c r="EB49" s="3"/>
      <c r="EC49" s="126"/>
      <c r="ED49" s="3"/>
      <c r="EE49" s="3"/>
      <c r="EF49" s="3"/>
      <c r="EG49" s="3"/>
    </row>
    <row r="50" ht="16.5" customHeight="1">
      <c r="A50" s="3"/>
      <c r="B50" s="3"/>
      <c r="C50" s="3"/>
      <c r="D50" s="3"/>
      <c r="E50" s="3"/>
      <c r="F50" s="3"/>
      <c r="H50" s="134"/>
      <c r="K50" s="134"/>
      <c r="L50" s="134"/>
      <c r="O50" s="134"/>
      <c r="P50" s="134"/>
      <c r="S50" s="134"/>
      <c r="T50" s="134"/>
      <c r="W50" s="134"/>
      <c r="X50" s="134"/>
      <c r="AA50" s="134"/>
      <c r="AB50" s="134"/>
      <c r="AE50" s="134"/>
      <c r="AF50" s="134"/>
      <c r="AI50" s="134"/>
      <c r="AJ50" s="134"/>
      <c r="AM50" s="134"/>
      <c r="AN50" s="134"/>
      <c r="AQ50" s="134"/>
      <c r="AR50" s="134"/>
      <c r="AU50" s="134"/>
      <c r="AV50" s="134"/>
      <c r="AY50" s="134"/>
      <c r="AZ50" s="134"/>
      <c r="BC50" s="134"/>
      <c r="BD50" s="134"/>
      <c r="BG50" s="134"/>
      <c r="BH50" s="134"/>
      <c r="BK50" s="134"/>
      <c r="BL50" s="134"/>
      <c r="BO50" s="134"/>
      <c r="BP50" s="134"/>
      <c r="BS50" s="134"/>
      <c r="BT50" s="134"/>
      <c r="BW50" s="134"/>
      <c r="BX50" s="134"/>
      <c r="CA50" s="134"/>
      <c r="CB50" s="134"/>
      <c r="CE50" s="134"/>
      <c r="CF50" s="134"/>
      <c r="CI50" s="134"/>
      <c r="CJ50" s="134"/>
      <c r="CM50" s="134"/>
      <c r="CN50" s="134"/>
      <c r="CQ50" s="134"/>
      <c r="CR50" s="134"/>
      <c r="CU50" s="134"/>
      <c r="CV50" s="134"/>
      <c r="CY50" s="134"/>
      <c r="CZ50" s="134"/>
      <c r="DC50" s="134"/>
      <c r="DD50" s="134"/>
      <c r="DG50" s="134"/>
      <c r="DH50" s="134"/>
      <c r="DK50" s="134"/>
      <c r="DL50" s="134"/>
      <c r="DO50" s="134"/>
      <c r="DP50" s="134"/>
      <c r="DS50" s="134"/>
      <c r="DT50" s="134"/>
      <c r="DW50" s="134"/>
      <c r="DX50" s="134"/>
      <c r="EA50" s="134"/>
      <c r="EB50" s="3"/>
      <c r="EC50" s="126"/>
      <c r="ED50" s="3"/>
      <c r="EE50" s="3"/>
      <c r="EF50" s="3"/>
      <c r="EG50" s="3"/>
    </row>
    <row r="51" ht="16.5" customHeight="1">
      <c r="A51" s="3"/>
      <c r="B51" s="3"/>
      <c r="C51" s="3"/>
      <c r="D51" s="3"/>
      <c r="E51" s="3"/>
      <c r="F51" s="3"/>
      <c r="H51" s="134"/>
      <c r="K51" s="134"/>
      <c r="L51" s="134"/>
      <c r="O51" s="134"/>
      <c r="P51" s="134"/>
      <c r="S51" s="134"/>
      <c r="T51" s="134"/>
      <c r="W51" s="134"/>
      <c r="X51" s="134"/>
      <c r="AA51" s="134"/>
      <c r="AB51" s="134"/>
      <c r="AE51" s="134"/>
      <c r="AF51" s="134"/>
      <c r="AI51" s="134"/>
      <c r="AJ51" s="134"/>
      <c r="AM51" s="134"/>
      <c r="AN51" s="134"/>
      <c r="AQ51" s="134"/>
      <c r="AR51" s="134"/>
      <c r="AU51" s="134"/>
      <c r="AV51" s="134"/>
      <c r="AY51" s="134"/>
      <c r="AZ51" s="134"/>
      <c r="BC51" s="134"/>
      <c r="BD51" s="134"/>
      <c r="BG51" s="134"/>
      <c r="BH51" s="134"/>
      <c r="BK51" s="134"/>
      <c r="BL51" s="134"/>
      <c r="BO51" s="134"/>
      <c r="BP51" s="134"/>
      <c r="BS51" s="134"/>
      <c r="BT51" s="134"/>
      <c r="BW51" s="134"/>
      <c r="BX51" s="134"/>
      <c r="CA51" s="134"/>
      <c r="CB51" s="134"/>
      <c r="CE51" s="134"/>
      <c r="CF51" s="134"/>
      <c r="CI51" s="134"/>
      <c r="CJ51" s="134"/>
      <c r="CM51" s="134"/>
      <c r="CN51" s="134"/>
      <c r="CQ51" s="134"/>
      <c r="CR51" s="134"/>
      <c r="CU51" s="134"/>
      <c r="CV51" s="134"/>
      <c r="CY51" s="134"/>
      <c r="CZ51" s="134"/>
      <c r="DC51" s="134"/>
      <c r="DD51" s="134"/>
      <c r="DG51" s="134"/>
      <c r="DH51" s="134"/>
      <c r="DK51" s="134"/>
      <c r="DL51" s="134"/>
      <c r="DO51" s="134"/>
      <c r="DP51" s="134"/>
      <c r="DS51" s="134"/>
      <c r="DT51" s="134"/>
      <c r="DW51" s="134"/>
      <c r="DX51" s="134"/>
      <c r="EA51" s="134"/>
      <c r="EB51" s="3"/>
      <c r="EC51" s="126"/>
      <c r="ED51" s="3"/>
      <c r="EE51" s="3"/>
      <c r="EF51" s="3"/>
      <c r="EG51" s="3"/>
    </row>
    <row r="52" ht="16.5" customHeight="1">
      <c r="A52" s="3"/>
      <c r="B52" s="3"/>
      <c r="C52" s="3"/>
      <c r="D52" s="3"/>
      <c r="E52" s="3"/>
      <c r="F52" s="3"/>
      <c r="H52" s="134"/>
      <c r="K52" s="134"/>
      <c r="L52" s="134"/>
      <c r="O52" s="134"/>
      <c r="P52" s="134"/>
      <c r="S52" s="134"/>
      <c r="T52" s="134"/>
      <c r="W52" s="134"/>
      <c r="X52" s="134"/>
      <c r="AA52" s="134"/>
      <c r="AB52" s="134"/>
      <c r="AE52" s="134"/>
      <c r="AF52" s="134"/>
      <c r="AI52" s="134"/>
      <c r="AJ52" s="134"/>
      <c r="AM52" s="134"/>
      <c r="AN52" s="134"/>
      <c r="AQ52" s="134"/>
      <c r="AR52" s="134"/>
      <c r="AU52" s="134"/>
      <c r="AV52" s="134"/>
      <c r="AY52" s="134"/>
      <c r="AZ52" s="134"/>
      <c r="BC52" s="134"/>
      <c r="BD52" s="134"/>
      <c r="BG52" s="134"/>
      <c r="BH52" s="134"/>
      <c r="BK52" s="134"/>
      <c r="BL52" s="134"/>
      <c r="BO52" s="134"/>
      <c r="BP52" s="134"/>
      <c r="BS52" s="134"/>
      <c r="BT52" s="134"/>
      <c r="BW52" s="134"/>
      <c r="BX52" s="134"/>
      <c r="CA52" s="134"/>
      <c r="CB52" s="134"/>
      <c r="CE52" s="134"/>
      <c r="CF52" s="134"/>
      <c r="CI52" s="134"/>
      <c r="CJ52" s="134"/>
      <c r="CM52" s="134"/>
      <c r="CN52" s="134"/>
      <c r="CQ52" s="134"/>
      <c r="CR52" s="134"/>
      <c r="CU52" s="134"/>
      <c r="CV52" s="134"/>
      <c r="CY52" s="134"/>
      <c r="CZ52" s="134"/>
      <c r="DC52" s="134"/>
      <c r="DD52" s="134"/>
      <c r="DG52" s="134"/>
      <c r="DH52" s="134"/>
      <c r="DK52" s="134"/>
      <c r="DL52" s="134"/>
      <c r="DO52" s="134"/>
      <c r="DP52" s="134"/>
      <c r="DS52" s="134"/>
      <c r="DT52" s="134"/>
      <c r="DW52" s="134"/>
      <c r="DX52" s="134"/>
      <c r="EA52" s="134"/>
      <c r="EB52" s="3"/>
      <c r="EC52" s="126"/>
      <c r="ED52" s="3"/>
      <c r="EE52" s="3"/>
      <c r="EF52" s="3"/>
      <c r="EG52" s="3"/>
    </row>
    <row r="53" ht="16.5" customHeight="1">
      <c r="A53" s="3"/>
      <c r="B53" s="3"/>
      <c r="C53" s="3"/>
      <c r="D53" s="3"/>
      <c r="E53" s="3"/>
      <c r="F53" s="3"/>
      <c r="H53" s="134"/>
      <c r="K53" s="134"/>
      <c r="L53" s="134"/>
      <c r="O53" s="134"/>
      <c r="P53" s="134"/>
      <c r="S53" s="134"/>
      <c r="T53" s="134"/>
      <c r="W53" s="134"/>
      <c r="X53" s="134"/>
      <c r="AA53" s="134"/>
      <c r="AB53" s="134"/>
      <c r="AE53" s="134"/>
      <c r="AF53" s="134"/>
      <c r="AI53" s="134"/>
      <c r="AJ53" s="134"/>
      <c r="AM53" s="134"/>
      <c r="AN53" s="134"/>
      <c r="AQ53" s="134"/>
      <c r="AR53" s="134"/>
      <c r="AU53" s="134"/>
      <c r="AV53" s="134"/>
      <c r="AY53" s="134"/>
      <c r="AZ53" s="134"/>
      <c r="BC53" s="134"/>
      <c r="BD53" s="134"/>
      <c r="BG53" s="134"/>
      <c r="BH53" s="134"/>
      <c r="BK53" s="134"/>
      <c r="BL53" s="134"/>
      <c r="BO53" s="134"/>
      <c r="BP53" s="134"/>
      <c r="BS53" s="134"/>
      <c r="BT53" s="134"/>
      <c r="BW53" s="134"/>
      <c r="BX53" s="134"/>
      <c r="CA53" s="134"/>
      <c r="CB53" s="134"/>
      <c r="CE53" s="134"/>
      <c r="CF53" s="134"/>
      <c r="CI53" s="134"/>
      <c r="CJ53" s="134"/>
      <c r="CM53" s="134"/>
      <c r="CN53" s="134"/>
      <c r="CQ53" s="134"/>
      <c r="CR53" s="134"/>
      <c r="CU53" s="134"/>
      <c r="CV53" s="134"/>
      <c r="CY53" s="134"/>
      <c r="CZ53" s="134"/>
      <c r="DC53" s="134"/>
      <c r="DD53" s="134"/>
      <c r="DG53" s="134"/>
      <c r="DH53" s="134"/>
      <c r="DK53" s="134"/>
      <c r="DL53" s="134"/>
      <c r="DO53" s="134"/>
      <c r="DP53" s="134"/>
      <c r="DS53" s="134"/>
      <c r="DT53" s="134"/>
      <c r="DW53" s="134"/>
      <c r="DX53" s="134"/>
      <c r="EA53" s="134"/>
      <c r="EB53" s="3"/>
      <c r="EC53" s="126"/>
      <c r="ED53" s="3"/>
      <c r="EE53" s="3"/>
      <c r="EF53" s="3"/>
      <c r="EG53" s="3"/>
    </row>
    <row r="54" ht="16.5" customHeight="1">
      <c r="A54" s="3"/>
      <c r="B54" s="3"/>
      <c r="C54" s="3"/>
      <c r="D54" s="3"/>
      <c r="E54" s="3"/>
      <c r="F54" s="3"/>
      <c r="H54" s="134"/>
      <c r="K54" s="134"/>
      <c r="L54" s="134"/>
      <c r="O54" s="134"/>
      <c r="P54" s="134"/>
      <c r="S54" s="134"/>
      <c r="T54" s="134"/>
      <c r="W54" s="134"/>
      <c r="X54" s="134"/>
      <c r="AA54" s="134"/>
      <c r="AB54" s="134"/>
      <c r="AE54" s="134"/>
      <c r="AF54" s="134"/>
      <c r="AI54" s="134"/>
      <c r="AJ54" s="134"/>
      <c r="AM54" s="134"/>
      <c r="AN54" s="134"/>
      <c r="AQ54" s="134"/>
      <c r="AR54" s="134"/>
      <c r="AU54" s="134"/>
      <c r="AV54" s="134"/>
      <c r="AY54" s="134"/>
      <c r="AZ54" s="134"/>
      <c r="BC54" s="134"/>
      <c r="BD54" s="134"/>
      <c r="BG54" s="134"/>
      <c r="BH54" s="134"/>
      <c r="BK54" s="134"/>
      <c r="BL54" s="134"/>
      <c r="BO54" s="134"/>
      <c r="BP54" s="134"/>
      <c r="BS54" s="134"/>
      <c r="BT54" s="134"/>
      <c r="BW54" s="134"/>
      <c r="BX54" s="134"/>
      <c r="CA54" s="134"/>
      <c r="CB54" s="134"/>
      <c r="CE54" s="134"/>
      <c r="CF54" s="134"/>
      <c r="CI54" s="134"/>
      <c r="CJ54" s="134"/>
      <c r="CM54" s="134"/>
      <c r="CN54" s="134"/>
      <c r="CQ54" s="134"/>
      <c r="CR54" s="134"/>
      <c r="CU54" s="134"/>
      <c r="CV54" s="134"/>
      <c r="CY54" s="134"/>
      <c r="CZ54" s="134"/>
      <c r="DC54" s="134"/>
      <c r="DD54" s="134"/>
      <c r="DG54" s="134"/>
      <c r="DH54" s="134"/>
      <c r="DK54" s="134"/>
      <c r="DL54" s="134"/>
      <c r="DO54" s="134"/>
      <c r="DP54" s="134"/>
      <c r="DS54" s="134"/>
      <c r="DT54" s="134"/>
      <c r="DW54" s="134"/>
      <c r="DX54" s="134"/>
      <c r="EA54" s="134"/>
      <c r="EB54" s="3"/>
      <c r="EC54" s="126"/>
      <c r="ED54" s="3"/>
      <c r="EE54" s="3"/>
      <c r="EF54" s="3"/>
      <c r="EG54" s="3"/>
    </row>
    <row r="55" ht="16.5" customHeight="1">
      <c r="A55" s="3"/>
      <c r="B55" s="29"/>
      <c r="C55" s="3"/>
      <c r="D55" s="3"/>
      <c r="E55" s="3"/>
      <c r="F55" s="13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126"/>
      <c r="ED55" s="3"/>
      <c r="EE55" s="3"/>
      <c r="EF55" s="3"/>
      <c r="EG55" s="3"/>
    </row>
    <row r="56" ht="16.5" customHeight="1">
      <c r="A56" s="3"/>
      <c r="B56" s="3"/>
      <c r="C56" s="3"/>
      <c r="D56" s="3"/>
      <c r="E56" s="3"/>
      <c r="F56" s="13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126"/>
      <c r="ED56" s="3"/>
      <c r="EE56" s="3"/>
      <c r="EF56" s="3"/>
      <c r="EG56" s="3"/>
    </row>
    <row r="57" ht="16.5" customHeight="1">
      <c r="A57" s="3"/>
      <c r="B57" s="3"/>
      <c r="C57" s="3"/>
      <c r="D57" s="3"/>
      <c r="E57" s="3"/>
      <c r="F57" s="122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126"/>
      <c r="ED57" s="3"/>
      <c r="EE57" s="3"/>
      <c r="EF57" s="3"/>
      <c r="EG57" s="3"/>
    </row>
    <row r="58" ht="16.5" customHeight="1">
      <c r="A58" s="3"/>
      <c r="B58" s="3"/>
      <c r="C58" s="3"/>
      <c r="D58" s="3"/>
      <c r="E58" s="3"/>
      <c r="F58" s="3"/>
      <c r="H58" s="134"/>
      <c r="K58" s="134"/>
      <c r="L58" s="134"/>
      <c r="O58" s="134"/>
      <c r="P58" s="134"/>
      <c r="S58" s="134"/>
      <c r="T58" s="134"/>
      <c r="W58" s="134"/>
      <c r="X58" s="134"/>
      <c r="AA58" s="134"/>
      <c r="AB58" s="134"/>
      <c r="AE58" s="134"/>
      <c r="AF58" s="134"/>
      <c r="AI58" s="134"/>
      <c r="AJ58" s="134"/>
      <c r="AM58" s="134"/>
      <c r="AN58" s="134"/>
      <c r="AQ58" s="134"/>
      <c r="AR58" s="134"/>
      <c r="AU58" s="134"/>
      <c r="AV58" s="134"/>
      <c r="AY58" s="134"/>
      <c r="AZ58" s="134"/>
      <c r="BC58" s="134"/>
      <c r="BD58" s="134"/>
      <c r="BG58" s="134"/>
      <c r="BH58" s="134"/>
      <c r="BK58" s="134"/>
      <c r="BL58" s="134"/>
      <c r="BO58" s="134"/>
      <c r="BP58" s="134"/>
      <c r="BS58" s="134"/>
      <c r="BT58" s="134"/>
      <c r="BW58" s="134"/>
      <c r="BX58" s="134"/>
      <c r="CA58" s="134"/>
      <c r="CB58" s="134"/>
      <c r="CE58" s="134"/>
      <c r="CF58" s="134"/>
      <c r="CI58" s="134"/>
      <c r="CJ58" s="134"/>
      <c r="CM58" s="134"/>
      <c r="CN58" s="134"/>
      <c r="CQ58" s="134"/>
      <c r="CR58" s="134"/>
      <c r="CU58" s="134"/>
      <c r="CV58" s="134"/>
      <c r="CY58" s="134"/>
      <c r="CZ58" s="134"/>
      <c r="DC58" s="134"/>
      <c r="DD58" s="134"/>
      <c r="DG58" s="134"/>
      <c r="DH58" s="134"/>
      <c r="DK58" s="134"/>
      <c r="DL58" s="134"/>
      <c r="DO58" s="134"/>
      <c r="DP58" s="134"/>
      <c r="DS58" s="134"/>
      <c r="DT58" s="134"/>
      <c r="DW58" s="134"/>
      <c r="DX58" s="134"/>
      <c r="EA58" s="134"/>
      <c r="EB58" s="3"/>
      <c r="EC58" s="126"/>
      <c r="ED58" s="3"/>
      <c r="EE58" s="3"/>
      <c r="EF58" s="3"/>
      <c r="EG58" s="3"/>
    </row>
    <row r="59" ht="16.5" customHeight="1">
      <c r="A59" s="3"/>
      <c r="B59" s="3"/>
      <c r="C59" s="3"/>
      <c r="D59" s="3"/>
      <c r="E59" s="3"/>
      <c r="F59" s="3"/>
      <c r="H59" s="134"/>
      <c r="K59" s="134"/>
      <c r="L59" s="134"/>
      <c r="O59" s="134"/>
      <c r="P59" s="134"/>
      <c r="S59" s="134"/>
      <c r="T59" s="134"/>
      <c r="W59" s="134"/>
      <c r="X59" s="134"/>
      <c r="AA59" s="134"/>
      <c r="AB59" s="134"/>
      <c r="AE59" s="134"/>
      <c r="AF59" s="134"/>
      <c r="AI59" s="134"/>
      <c r="AJ59" s="134"/>
      <c r="AM59" s="134"/>
      <c r="AN59" s="134"/>
      <c r="AQ59" s="134"/>
      <c r="AR59" s="134"/>
      <c r="AU59" s="134"/>
      <c r="AV59" s="134"/>
      <c r="AY59" s="134"/>
      <c r="AZ59" s="134"/>
      <c r="BC59" s="134"/>
      <c r="BD59" s="134"/>
      <c r="BG59" s="134"/>
      <c r="BH59" s="134"/>
      <c r="BK59" s="134"/>
      <c r="BL59" s="134"/>
      <c r="BO59" s="134"/>
      <c r="BP59" s="134"/>
      <c r="BS59" s="134"/>
      <c r="BT59" s="134"/>
      <c r="BW59" s="134"/>
      <c r="BX59" s="134"/>
      <c r="CA59" s="134"/>
      <c r="CB59" s="134"/>
      <c r="CE59" s="134"/>
      <c r="CF59" s="134"/>
      <c r="CI59" s="134"/>
      <c r="CJ59" s="134"/>
      <c r="CM59" s="134"/>
      <c r="CN59" s="134"/>
      <c r="CQ59" s="134"/>
      <c r="CR59" s="134"/>
      <c r="CU59" s="134"/>
      <c r="CV59" s="134"/>
      <c r="CY59" s="134"/>
      <c r="CZ59" s="134"/>
      <c r="DC59" s="134"/>
      <c r="DD59" s="134"/>
      <c r="DG59" s="134"/>
      <c r="DH59" s="134"/>
      <c r="DK59" s="134"/>
      <c r="DL59" s="134"/>
      <c r="DO59" s="134"/>
      <c r="DP59" s="134"/>
      <c r="DS59" s="134"/>
      <c r="DT59" s="134"/>
      <c r="DW59" s="134"/>
      <c r="DX59" s="134"/>
      <c r="EA59" s="134"/>
      <c r="EB59" s="3"/>
      <c r="EC59" s="126"/>
      <c r="ED59" s="3"/>
      <c r="EE59" s="3"/>
      <c r="EF59" s="3"/>
      <c r="EG59" s="3"/>
    </row>
    <row r="60" ht="16.5" customHeight="1">
      <c r="A60" s="3"/>
      <c r="B60" s="3"/>
      <c r="C60" s="3"/>
      <c r="D60" s="3"/>
      <c r="E60" s="3"/>
      <c r="F60" s="3"/>
      <c r="H60" s="134"/>
      <c r="K60" s="134"/>
      <c r="L60" s="134"/>
      <c r="O60" s="134"/>
      <c r="P60" s="134"/>
      <c r="S60" s="134"/>
      <c r="T60" s="134"/>
      <c r="W60" s="134"/>
      <c r="X60" s="134"/>
      <c r="AA60" s="134"/>
      <c r="AB60" s="134"/>
      <c r="AE60" s="134"/>
      <c r="AF60" s="134"/>
      <c r="AI60" s="134"/>
      <c r="AJ60" s="134"/>
      <c r="AM60" s="134"/>
      <c r="AN60" s="134"/>
      <c r="AQ60" s="134"/>
      <c r="AR60" s="134"/>
      <c r="AU60" s="134"/>
      <c r="AV60" s="134"/>
      <c r="AY60" s="134"/>
      <c r="AZ60" s="134"/>
      <c r="BC60" s="134"/>
      <c r="BD60" s="134"/>
      <c r="BG60" s="134"/>
      <c r="BH60" s="134"/>
      <c r="BK60" s="134"/>
      <c r="BL60" s="134"/>
      <c r="BO60" s="134"/>
      <c r="BP60" s="134"/>
      <c r="BS60" s="134"/>
      <c r="BT60" s="134"/>
      <c r="BW60" s="134"/>
      <c r="BX60" s="134"/>
      <c r="CA60" s="134"/>
      <c r="CB60" s="134"/>
      <c r="CE60" s="134"/>
      <c r="CF60" s="134"/>
      <c r="CI60" s="134"/>
      <c r="CJ60" s="134"/>
      <c r="CM60" s="134"/>
      <c r="CN60" s="134"/>
      <c r="CQ60" s="134"/>
      <c r="CR60" s="134"/>
      <c r="CU60" s="134"/>
      <c r="CV60" s="134"/>
      <c r="CY60" s="134"/>
      <c r="CZ60" s="134"/>
      <c r="DC60" s="134"/>
      <c r="DD60" s="134"/>
      <c r="DG60" s="134"/>
      <c r="DH60" s="134"/>
      <c r="DK60" s="134"/>
      <c r="DL60" s="134"/>
      <c r="DO60" s="134"/>
      <c r="DP60" s="134"/>
      <c r="DS60" s="134"/>
      <c r="DT60" s="134"/>
      <c r="DW60" s="134"/>
      <c r="DX60" s="134"/>
      <c r="EA60" s="134"/>
      <c r="EB60" s="3"/>
      <c r="EC60" s="126"/>
      <c r="ED60" s="3"/>
      <c r="EE60" s="3"/>
      <c r="EF60" s="3"/>
      <c r="EG60" s="3"/>
    </row>
    <row r="61" ht="16.5" customHeight="1">
      <c r="A61" s="3"/>
      <c r="B61" s="3"/>
      <c r="C61" s="3"/>
      <c r="D61" s="3"/>
      <c r="E61" s="3"/>
      <c r="F61" s="3"/>
      <c r="H61" s="134"/>
      <c r="K61" s="134"/>
      <c r="L61" s="134"/>
      <c r="O61" s="134"/>
      <c r="P61" s="134"/>
      <c r="S61" s="134"/>
      <c r="T61" s="134"/>
      <c r="W61" s="134"/>
      <c r="X61" s="134"/>
      <c r="AA61" s="134"/>
      <c r="AB61" s="134"/>
      <c r="AE61" s="134"/>
      <c r="AF61" s="134"/>
      <c r="AI61" s="134"/>
      <c r="AJ61" s="134"/>
      <c r="AM61" s="134"/>
      <c r="AN61" s="134"/>
      <c r="AQ61" s="134"/>
      <c r="AR61" s="134"/>
      <c r="AU61" s="134"/>
      <c r="AV61" s="134"/>
      <c r="AY61" s="134"/>
      <c r="AZ61" s="134"/>
      <c r="BC61" s="134"/>
      <c r="BD61" s="134"/>
      <c r="BG61" s="134"/>
      <c r="BH61" s="134"/>
      <c r="BK61" s="134"/>
      <c r="BL61" s="134"/>
      <c r="BO61" s="134"/>
      <c r="BP61" s="134"/>
      <c r="BS61" s="134"/>
      <c r="BT61" s="134"/>
      <c r="BW61" s="134"/>
      <c r="BX61" s="134"/>
      <c r="CA61" s="134"/>
      <c r="CB61" s="134"/>
      <c r="CE61" s="134"/>
      <c r="CF61" s="134"/>
      <c r="CI61" s="134"/>
      <c r="CJ61" s="134"/>
      <c r="CM61" s="134"/>
      <c r="CN61" s="134"/>
      <c r="CQ61" s="134"/>
      <c r="CR61" s="134"/>
      <c r="CU61" s="134"/>
      <c r="CV61" s="134"/>
      <c r="CY61" s="134"/>
      <c r="CZ61" s="134"/>
      <c r="DC61" s="134"/>
      <c r="DD61" s="134"/>
      <c r="DG61" s="134"/>
      <c r="DH61" s="134"/>
      <c r="DK61" s="134"/>
      <c r="DL61" s="134"/>
      <c r="DO61" s="134"/>
      <c r="DP61" s="134"/>
      <c r="DS61" s="134"/>
      <c r="DT61" s="134"/>
      <c r="DW61" s="134"/>
      <c r="DX61" s="134"/>
      <c r="EA61" s="134"/>
      <c r="EB61" s="3"/>
      <c r="EC61" s="126"/>
      <c r="ED61" s="3"/>
      <c r="EE61" s="3"/>
      <c r="EF61" s="3"/>
      <c r="EG61" s="3"/>
    </row>
    <row r="62" ht="16.5" customHeight="1">
      <c r="A62" s="3"/>
      <c r="B62" s="3"/>
      <c r="C62" s="3"/>
      <c r="D62" s="3"/>
      <c r="E62" s="3"/>
      <c r="F62" s="3"/>
      <c r="H62" s="134"/>
      <c r="K62" s="134"/>
      <c r="L62" s="134"/>
      <c r="O62" s="134"/>
      <c r="P62" s="134"/>
      <c r="S62" s="134"/>
      <c r="T62" s="134"/>
      <c r="W62" s="134"/>
      <c r="X62" s="134"/>
      <c r="AA62" s="134"/>
      <c r="AB62" s="134"/>
      <c r="AE62" s="134"/>
      <c r="AF62" s="134"/>
      <c r="AI62" s="134"/>
      <c r="AJ62" s="134"/>
      <c r="AM62" s="134"/>
      <c r="AN62" s="134"/>
      <c r="AQ62" s="134"/>
      <c r="AR62" s="134"/>
      <c r="AU62" s="134"/>
      <c r="AV62" s="134"/>
      <c r="AY62" s="134"/>
      <c r="AZ62" s="134"/>
      <c r="BC62" s="134"/>
      <c r="BD62" s="134"/>
      <c r="BG62" s="134"/>
      <c r="BH62" s="134"/>
      <c r="BK62" s="134"/>
      <c r="BL62" s="134"/>
      <c r="BO62" s="134"/>
      <c r="BP62" s="134"/>
      <c r="BS62" s="134"/>
      <c r="BT62" s="134"/>
      <c r="BW62" s="134"/>
      <c r="BX62" s="134"/>
      <c r="CA62" s="134"/>
      <c r="CB62" s="134"/>
      <c r="CE62" s="134"/>
      <c r="CF62" s="134"/>
      <c r="CI62" s="134"/>
      <c r="CJ62" s="134"/>
      <c r="CM62" s="134"/>
      <c r="CN62" s="134"/>
      <c r="CQ62" s="134"/>
      <c r="CR62" s="134"/>
      <c r="CU62" s="134"/>
      <c r="CV62" s="134"/>
      <c r="CY62" s="134"/>
      <c r="CZ62" s="134"/>
      <c r="DC62" s="134"/>
      <c r="DD62" s="134"/>
      <c r="DG62" s="134"/>
      <c r="DH62" s="134"/>
      <c r="DK62" s="134"/>
      <c r="DL62" s="134"/>
      <c r="DO62" s="134"/>
      <c r="DP62" s="134"/>
      <c r="DS62" s="134"/>
      <c r="DT62" s="134"/>
      <c r="DW62" s="134"/>
      <c r="DX62" s="134"/>
      <c r="EA62" s="134"/>
      <c r="EB62" s="3"/>
      <c r="EC62" s="126"/>
      <c r="ED62" s="3"/>
      <c r="EE62" s="3"/>
      <c r="EF62" s="3"/>
      <c r="EG62" s="3"/>
    </row>
    <row r="63" ht="16.5" customHeight="1">
      <c r="A63" s="3"/>
      <c r="B63" s="29"/>
      <c r="C63" s="3"/>
      <c r="D63" s="3"/>
      <c r="E63" s="3"/>
      <c r="F63" s="3"/>
      <c r="H63" s="134"/>
      <c r="K63" s="134"/>
      <c r="L63" s="134"/>
      <c r="O63" s="134"/>
      <c r="P63" s="134"/>
      <c r="S63" s="134"/>
      <c r="T63" s="134"/>
      <c r="W63" s="134"/>
      <c r="X63" s="134"/>
      <c r="AA63" s="134"/>
      <c r="AB63" s="134"/>
      <c r="AE63" s="134"/>
      <c r="AF63" s="134"/>
      <c r="AI63" s="134"/>
      <c r="AJ63" s="134"/>
      <c r="AM63" s="134"/>
      <c r="AN63" s="134"/>
      <c r="AQ63" s="134"/>
      <c r="AR63" s="134"/>
      <c r="AU63" s="134"/>
      <c r="AV63" s="134"/>
      <c r="AY63" s="134"/>
      <c r="AZ63" s="134"/>
      <c r="BC63" s="134"/>
      <c r="BD63" s="134"/>
      <c r="BG63" s="134"/>
      <c r="BH63" s="134"/>
      <c r="BK63" s="134"/>
      <c r="BL63" s="134"/>
      <c r="BO63" s="134"/>
      <c r="BP63" s="134"/>
      <c r="BS63" s="134"/>
      <c r="BT63" s="134"/>
      <c r="BW63" s="134"/>
      <c r="BX63" s="134"/>
      <c r="CA63" s="134"/>
      <c r="CB63" s="134"/>
      <c r="CE63" s="134"/>
      <c r="CF63" s="134"/>
      <c r="CI63" s="134"/>
      <c r="CJ63" s="134"/>
      <c r="CM63" s="134"/>
      <c r="CN63" s="134"/>
      <c r="CQ63" s="134"/>
      <c r="CR63" s="134"/>
      <c r="CU63" s="134"/>
      <c r="CV63" s="134"/>
      <c r="CY63" s="134"/>
      <c r="CZ63" s="134"/>
      <c r="DC63" s="134"/>
      <c r="DD63" s="134"/>
      <c r="DG63" s="134"/>
      <c r="DH63" s="134"/>
      <c r="DK63" s="134"/>
      <c r="DL63" s="134"/>
      <c r="DO63" s="134"/>
      <c r="DP63" s="134"/>
      <c r="DS63" s="134"/>
      <c r="DT63" s="134"/>
      <c r="DW63" s="134"/>
      <c r="DX63" s="134"/>
      <c r="EA63" s="134"/>
      <c r="EB63" s="3"/>
      <c r="EC63" s="126"/>
      <c r="ED63" s="3"/>
      <c r="EE63" s="3"/>
      <c r="EF63" s="3"/>
      <c r="EG63" s="3"/>
    </row>
    <row r="64" ht="16.5" customHeight="1">
      <c r="A64" s="3"/>
      <c r="B64" s="3"/>
      <c r="C64" s="3"/>
      <c r="D64" s="3"/>
      <c r="E64" s="3"/>
      <c r="F64" s="3"/>
      <c r="H64" s="134"/>
      <c r="K64" s="134"/>
      <c r="L64" s="134"/>
      <c r="O64" s="134"/>
      <c r="P64" s="134"/>
      <c r="S64" s="134"/>
      <c r="T64" s="134"/>
      <c r="W64" s="134"/>
      <c r="X64" s="134"/>
      <c r="AA64" s="134"/>
      <c r="AB64" s="134"/>
      <c r="AE64" s="134"/>
      <c r="AF64" s="134"/>
      <c r="AI64" s="134"/>
      <c r="AJ64" s="134"/>
      <c r="AM64" s="134"/>
      <c r="AN64" s="134"/>
      <c r="AQ64" s="134"/>
      <c r="AR64" s="134"/>
      <c r="AU64" s="134"/>
      <c r="AV64" s="134"/>
      <c r="AY64" s="134"/>
      <c r="AZ64" s="134"/>
      <c r="BC64" s="134"/>
      <c r="BD64" s="134"/>
      <c r="BG64" s="134"/>
      <c r="BH64" s="134"/>
      <c r="BK64" s="134"/>
      <c r="BL64" s="134"/>
      <c r="BO64" s="134"/>
      <c r="BP64" s="134"/>
      <c r="BS64" s="134"/>
      <c r="BT64" s="134"/>
      <c r="BW64" s="134"/>
      <c r="BX64" s="134"/>
      <c r="CA64" s="134"/>
      <c r="CB64" s="134"/>
      <c r="CE64" s="134"/>
      <c r="CF64" s="134"/>
      <c r="CI64" s="134"/>
      <c r="CJ64" s="134"/>
      <c r="CM64" s="134"/>
      <c r="CN64" s="134"/>
      <c r="CQ64" s="134"/>
      <c r="CR64" s="134"/>
      <c r="CU64" s="134"/>
      <c r="CV64" s="134"/>
      <c r="CY64" s="134"/>
      <c r="CZ64" s="134"/>
      <c r="DC64" s="134"/>
      <c r="DD64" s="134"/>
      <c r="DG64" s="134"/>
      <c r="DH64" s="134"/>
      <c r="DK64" s="134"/>
      <c r="DL64" s="134"/>
      <c r="DO64" s="134"/>
      <c r="DP64" s="134"/>
      <c r="DS64" s="134"/>
      <c r="DT64" s="134"/>
      <c r="DW64" s="134"/>
      <c r="DX64" s="134"/>
      <c r="EA64" s="134"/>
      <c r="EB64" s="3"/>
      <c r="EC64" s="126"/>
      <c r="ED64" s="3"/>
      <c r="EE64" s="3"/>
      <c r="EF64" s="3"/>
      <c r="EG64" s="3"/>
    </row>
    <row r="65" ht="16.5" customHeight="1">
      <c r="A65" s="3"/>
      <c r="B65" s="3"/>
      <c r="C65" s="3"/>
      <c r="D65" s="3"/>
      <c r="E65" s="3"/>
      <c r="F65" s="3"/>
      <c r="H65" s="134"/>
      <c r="K65" s="134"/>
      <c r="L65" s="134"/>
      <c r="O65" s="134"/>
      <c r="P65" s="134"/>
      <c r="S65" s="134"/>
      <c r="T65" s="134"/>
      <c r="W65" s="134"/>
      <c r="X65" s="134"/>
      <c r="AA65" s="134"/>
      <c r="AB65" s="134"/>
      <c r="AE65" s="134"/>
      <c r="AF65" s="134"/>
      <c r="AI65" s="134"/>
      <c r="AJ65" s="134"/>
      <c r="AM65" s="134"/>
      <c r="AN65" s="134"/>
      <c r="AQ65" s="134"/>
      <c r="AR65" s="134"/>
      <c r="AU65" s="134"/>
      <c r="AV65" s="134"/>
      <c r="AY65" s="134"/>
      <c r="AZ65" s="134"/>
      <c r="BC65" s="134"/>
      <c r="BD65" s="134"/>
      <c r="BG65" s="134"/>
      <c r="BH65" s="134"/>
      <c r="BK65" s="134"/>
      <c r="BL65" s="134"/>
      <c r="BO65" s="134"/>
      <c r="BP65" s="134"/>
      <c r="BS65" s="134"/>
      <c r="BT65" s="134"/>
      <c r="BW65" s="134"/>
      <c r="BX65" s="134"/>
      <c r="CA65" s="134"/>
      <c r="CB65" s="134"/>
      <c r="CE65" s="134"/>
      <c r="CF65" s="134"/>
      <c r="CI65" s="134"/>
      <c r="CJ65" s="134"/>
      <c r="CM65" s="134"/>
      <c r="CN65" s="134"/>
      <c r="CQ65" s="134"/>
      <c r="CR65" s="134"/>
      <c r="CU65" s="134"/>
      <c r="CV65" s="134"/>
      <c r="CY65" s="134"/>
      <c r="CZ65" s="134"/>
      <c r="DC65" s="134"/>
      <c r="DD65" s="134"/>
      <c r="DG65" s="134"/>
      <c r="DH65" s="134"/>
      <c r="DK65" s="134"/>
      <c r="DL65" s="134"/>
      <c r="DO65" s="134"/>
      <c r="DP65" s="134"/>
      <c r="DS65" s="134"/>
      <c r="DT65" s="134"/>
      <c r="DW65" s="134"/>
      <c r="DX65" s="134"/>
      <c r="EA65" s="134"/>
      <c r="EB65" s="3"/>
      <c r="EC65" s="126"/>
      <c r="ED65" s="3"/>
      <c r="EE65" s="3"/>
      <c r="EF65" s="3"/>
      <c r="EG65" s="3"/>
    </row>
    <row r="66" ht="16.5" customHeight="1">
      <c r="A66" s="3"/>
      <c r="B66" s="3"/>
      <c r="C66" s="3"/>
      <c r="D66" s="3"/>
      <c r="E66" s="3"/>
      <c r="F66" s="3"/>
      <c r="H66" s="134"/>
      <c r="K66" s="134"/>
      <c r="L66" s="134"/>
      <c r="O66" s="134"/>
      <c r="P66" s="134"/>
      <c r="S66" s="134"/>
      <c r="T66" s="134"/>
      <c r="W66" s="134"/>
      <c r="X66" s="134"/>
      <c r="AA66" s="134"/>
      <c r="AB66" s="134"/>
      <c r="AE66" s="134"/>
      <c r="AF66" s="134"/>
      <c r="AI66" s="134"/>
      <c r="AJ66" s="134"/>
      <c r="AM66" s="134"/>
      <c r="AN66" s="134"/>
      <c r="AQ66" s="134"/>
      <c r="AR66" s="134"/>
      <c r="AU66" s="134"/>
      <c r="AV66" s="134"/>
      <c r="AY66" s="134"/>
      <c r="AZ66" s="134"/>
      <c r="BC66" s="134"/>
      <c r="BD66" s="134"/>
      <c r="BG66" s="134"/>
      <c r="BH66" s="134"/>
      <c r="BK66" s="134"/>
      <c r="BL66" s="134"/>
      <c r="BO66" s="134"/>
      <c r="BP66" s="134"/>
      <c r="BS66" s="134"/>
      <c r="BT66" s="134"/>
      <c r="BW66" s="134"/>
      <c r="BX66" s="134"/>
      <c r="CA66" s="134"/>
      <c r="CB66" s="134"/>
      <c r="CE66" s="134"/>
      <c r="CF66" s="134"/>
      <c r="CI66" s="134"/>
      <c r="CJ66" s="134"/>
      <c r="CM66" s="134"/>
      <c r="CN66" s="134"/>
      <c r="CQ66" s="134"/>
      <c r="CR66" s="134"/>
      <c r="CU66" s="134"/>
      <c r="CV66" s="134"/>
      <c r="CY66" s="134"/>
      <c r="CZ66" s="134"/>
      <c r="DC66" s="134"/>
      <c r="DD66" s="134"/>
      <c r="DG66" s="134"/>
      <c r="DH66" s="134"/>
      <c r="DK66" s="134"/>
      <c r="DL66" s="134"/>
      <c r="DO66" s="134"/>
      <c r="DP66" s="134"/>
      <c r="DS66" s="134"/>
      <c r="DT66" s="134"/>
      <c r="DW66" s="134"/>
      <c r="DX66" s="134"/>
      <c r="EA66" s="134"/>
      <c r="EB66" s="3"/>
      <c r="EC66" s="126"/>
      <c r="ED66" s="3"/>
      <c r="EE66" s="3"/>
      <c r="EF66" s="3"/>
      <c r="EG66" s="3"/>
    </row>
    <row r="67" ht="16.5" customHeight="1">
      <c r="A67" s="3"/>
      <c r="B67" s="3"/>
      <c r="C67" s="3"/>
      <c r="D67" s="3"/>
      <c r="E67" s="3"/>
      <c r="F67" s="3"/>
      <c r="H67" s="134"/>
      <c r="K67" s="134"/>
      <c r="L67" s="134"/>
      <c r="O67" s="134"/>
      <c r="P67" s="134"/>
      <c r="S67" s="134"/>
      <c r="T67" s="134"/>
      <c r="W67" s="134"/>
      <c r="X67" s="134"/>
      <c r="AA67" s="134"/>
      <c r="AB67" s="134"/>
      <c r="AE67" s="134"/>
      <c r="AF67" s="134"/>
      <c r="AI67" s="134"/>
      <c r="AJ67" s="134"/>
      <c r="AM67" s="134"/>
      <c r="AN67" s="134"/>
      <c r="AQ67" s="134"/>
      <c r="AR67" s="134"/>
      <c r="AU67" s="134"/>
      <c r="AV67" s="134"/>
      <c r="AY67" s="134"/>
      <c r="AZ67" s="134"/>
      <c r="BC67" s="134"/>
      <c r="BD67" s="134"/>
      <c r="BG67" s="134"/>
      <c r="BH67" s="134"/>
      <c r="BK67" s="134"/>
      <c r="BL67" s="134"/>
      <c r="BO67" s="134"/>
      <c r="BP67" s="134"/>
      <c r="BS67" s="134"/>
      <c r="BT67" s="134"/>
      <c r="BW67" s="134"/>
      <c r="BX67" s="134"/>
      <c r="CA67" s="134"/>
      <c r="CB67" s="134"/>
      <c r="CE67" s="134"/>
      <c r="CF67" s="134"/>
      <c r="CI67" s="134"/>
      <c r="CJ67" s="134"/>
      <c r="CM67" s="134"/>
      <c r="CN67" s="134"/>
      <c r="CQ67" s="134"/>
      <c r="CR67" s="134"/>
      <c r="CU67" s="134"/>
      <c r="CV67" s="134"/>
      <c r="CY67" s="134"/>
      <c r="CZ67" s="134"/>
      <c r="DC67" s="134"/>
      <c r="DD67" s="134"/>
      <c r="DG67" s="134"/>
      <c r="DH67" s="134"/>
      <c r="DK67" s="134"/>
      <c r="DL67" s="134"/>
      <c r="DO67" s="134"/>
      <c r="DP67" s="134"/>
      <c r="DS67" s="134"/>
      <c r="DT67" s="134"/>
      <c r="DW67" s="134"/>
      <c r="DX67" s="134"/>
      <c r="EA67" s="134"/>
      <c r="EB67" s="3"/>
      <c r="EC67" s="126"/>
      <c r="ED67" s="3"/>
      <c r="EE67" s="3"/>
      <c r="EF67" s="3"/>
      <c r="EG67" s="3"/>
    </row>
    <row r="68" ht="16.5" customHeight="1">
      <c r="A68" s="3"/>
      <c r="B68" s="3"/>
      <c r="C68" s="3"/>
      <c r="D68" s="3"/>
      <c r="E68" s="3"/>
      <c r="F68" s="3"/>
      <c r="H68" s="134"/>
      <c r="K68" s="134"/>
      <c r="L68" s="134"/>
      <c r="O68" s="134"/>
      <c r="P68" s="134"/>
      <c r="S68" s="134"/>
      <c r="T68" s="134"/>
      <c r="W68" s="134"/>
      <c r="X68" s="134"/>
      <c r="AA68" s="134"/>
      <c r="AB68" s="134"/>
      <c r="AE68" s="134"/>
      <c r="AF68" s="134"/>
      <c r="AI68" s="134"/>
      <c r="AJ68" s="134"/>
      <c r="AM68" s="134"/>
      <c r="AN68" s="134"/>
      <c r="AQ68" s="134"/>
      <c r="AR68" s="134"/>
      <c r="AU68" s="134"/>
      <c r="AV68" s="134"/>
      <c r="AY68" s="134"/>
      <c r="AZ68" s="134"/>
      <c r="BC68" s="134"/>
      <c r="BD68" s="134"/>
      <c r="BG68" s="134"/>
      <c r="BH68" s="134"/>
      <c r="BK68" s="134"/>
      <c r="BL68" s="134"/>
      <c r="BO68" s="134"/>
      <c r="BP68" s="134"/>
      <c r="BS68" s="134"/>
      <c r="BT68" s="134"/>
      <c r="BW68" s="134"/>
      <c r="BX68" s="134"/>
      <c r="CA68" s="134"/>
      <c r="CB68" s="134"/>
      <c r="CE68" s="134"/>
      <c r="CF68" s="134"/>
      <c r="CI68" s="134"/>
      <c r="CJ68" s="134"/>
      <c r="CM68" s="134"/>
      <c r="CN68" s="134"/>
      <c r="CQ68" s="134"/>
      <c r="CR68" s="134"/>
      <c r="CU68" s="134"/>
      <c r="CV68" s="134"/>
      <c r="CY68" s="134"/>
      <c r="CZ68" s="134"/>
      <c r="DC68" s="134"/>
      <c r="DD68" s="134"/>
      <c r="DG68" s="134"/>
      <c r="DH68" s="134"/>
      <c r="DK68" s="134"/>
      <c r="DL68" s="134"/>
      <c r="DO68" s="134"/>
      <c r="DP68" s="134"/>
      <c r="DS68" s="134"/>
      <c r="DT68" s="134"/>
      <c r="DW68" s="134"/>
      <c r="DX68" s="134"/>
      <c r="EA68" s="134"/>
      <c r="EB68" s="3"/>
      <c r="EC68" s="126"/>
      <c r="ED68" s="3"/>
      <c r="EE68" s="3"/>
      <c r="EF68" s="3"/>
      <c r="EG68" s="3"/>
    </row>
    <row r="69" ht="16.5" customHeight="1">
      <c r="A69" s="3"/>
      <c r="B69" s="3"/>
      <c r="C69" s="3"/>
      <c r="D69" s="3"/>
      <c r="E69" s="3"/>
      <c r="F69" s="3"/>
      <c r="H69" s="134"/>
      <c r="K69" s="134"/>
      <c r="L69" s="134"/>
      <c r="O69" s="134"/>
      <c r="P69" s="134"/>
      <c r="S69" s="134"/>
      <c r="T69" s="134"/>
      <c r="W69" s="134"/>
      <c r="X69" s="134"/>
      <c r="AA69" s="134"/>
      <c r="AB69" s="134"/>
      <c r="AE69" s="134"/>
      <c r="AF69" s="134"/>
      <c r="AI69" s="134"/>
      <c r="AJ69" s="134"/>
      <c r="AM69" s="134"/>
      <c r="AN69" s="134"/>
      <c r="AQ69" s="134"/>
      <c r="AR69" s="134"/>
      <c r="AU69" s="134"/>
      <c r="AV69" s="134"/>
      <c r="AY69" s="134"/>
      <c r="AZ69" s="134"/>
      <c r="BC69" s="134"/>
      <c r="BD69" s="134"/>
      <c r="BG69" s="134"/>
      <c r="BH69" s="134"/>
      <c r="BK69" s="134"/>
      <c r="BL69" s="134"/>
      <c r="BO69" s="134"/>
      <c r="BP69" s="134"/>
      <c r="BS69" s="134"/>
      <c r="BT69" s="134"/>
      <c r="BW69" s="134"/>
      <c r="BX69" s="134"/>
      <c r="CA69" s="134"/>
      <c r="CB69" s="134"/>
      <c r="CE69" s="134"/>
      <c r="CF69" s="134"/>
      <c r="CI69" s="134"/>
      <c r="CJ69" s="134"/>
      <c r="CM69" s="134"/>
      <c r="CN69" s="134"/>
      <c r="CQ69" s="134"/>
      <c r="CR69" s="134"/>
      <c r="CU69" s="134"/>
      <c r="CV69" s="134"/>
      <c r="CY69" s="134"/>
      <c r="CZ69" s="134"/>
      <c r="DC69" s="134"/>
      <c r="DD69" s="134"/>
      <c r="DG69" s="134"/>
      <c r="DH69" s="134"/>
      <c r="DK69" s="134"/>
      <c r="DL69" s="134"/>
      <c r="DO69" s="134"/>
      <c r="DP69" s="134"/>
      <c r="DS69" s="134"/>
      <c r="DT69" s="134"/>
      <c r="DW69" s="134"/>
      <c r="DX69" s="134"/>
      <c r="EA69" s="134"/>
      <c r="EB69" s="3"/>
      <c r="EC69" s="126"/>
      <c r="ED69" s="3"/>
      <c r="EE69" s="3"/>
      <c r="EF69" s="3"/>
      <c r="EG69" s="3"/>
    </row>
    <row r="70" ht="16.5" customHeight="1">
      <c r="A70" s="3"/>
      <c r="B70" s="3"/>
      <c r="C70" s="3"/>
      <c r="D70" s="3"/>
      <c r="E70" s="3"/>
      <c r="F70" s="3"/>
      <c r="H70" s="134"/>
      <c r="K70" s="134"/>
      <c r="L70" s="134"/>
      <c r="O70" s="134"/>
      <c r="P70" s="134"/>
      <c r="S70" s="134"/>
      <c r="T70" s="134"/>
      <c r="W70" s="134"/>
      <c r="X70" s="134"/>
      <c r="AA70" s="134"/>
      <c r="AB70" s="134"/>
      <c r="AE70" s="134"/>
      <c r="AF70" s="134"/>
      <c r="AI70" s="134"/>
      <c r="AJ70" s="134"/>
      <c r="AM70" s="134"/>
      <c r="AN70" s="134"/>
      <c r="AQ70" s="134"/>
      <c r="AR70" s="134"/>
      <c r="AU70" s="134"/>
      <c r="AV70" s="134"/>
      <c r="AY70" s="134"/>
      <c r="AZ70" s="134"/>
      <c r="BC70" s="134"/>
      <c r="BD70" s="134"/>
      <c r="BG70" s="134"/>
      <c r="BH70" s="134"/>
      <c r="BK70" s="134"/>
      <c r="BL70" s="134"/>
      <c r="BO70" s="134"/>
      <c r="BP70" s="134"/>
      <c r="BS70" s="134"/>
      <c r="BT70" s="134"/>
      <c r="BW70" s="134"/>
      <c r="BX70" s="134"/>
      <c r="CA70" s="134"/>
      <c r="CB70" s="134"/>
      <c r="CE70" s="134"/>
      <c r="CF70" s="134"/>
      <c r="CI70" s="134"/>
      <c r="CJ70" s="134"/>
      <c r="CM70" s="134"/>
      <c r="CN70" s="134"/>
      <c r="CQ70" s="134"/>
      <c r="CR70" s="134"/>
      <c r="CU70" s="134"/>
      <c r="CV70" s="134"/>
      <c r="CY70" s="134"/>
      <c r="CZ70" s="134"/>
      <c r="DC70" s="134"/>
      <c r="DD70" s="134"/>
      <c r="DG70" s="134"/>
      <c r="DH70" s="134"/>
      <c r="DK70" s="134"/>
      <c r="DL70" s="134"/>
      <c r="DO70" s="134"/>
      <c r="DP70" s="134"/>
      <c r="DS70" s="134"/>
      <c r="DT70" s="134"/>
      <c r="DW70" s="134"/>
      <c r="DX70" s="134"/>
      <c r="EA70" s="134"/>
      <c r="EB70" s="3"/>
      <c r="EC70" s="126"/>
      <c r="ED70" s="3"/>
      <c r="EE70" s="3"/>
      <c r="EF70" s="3"/>
      <c r="EG70" s="3"/>
    </row>
    <row r="71" ht="16.5" customHeight="1">
      <c r="A71" s="3"/>
      <c r="B71" s="29"/>
      <c r="C71" s="3"/>
      <c r="D71" s="3"/>
      <c r="E71" s="3"/>
      <c r="F71" s="3"/>
      <c r="H71" s="134"/>
      <c r="K71" s="134"/>
      <c r="L71" s="134"/>
      <c r="O71" s="134"/>
      <c r="P71" s="134"/>
      <c r="S71" s="134"/>
      <c r="T71" s="134"/>
      <c r="W71" s="134"/>
      <c r="X71" s="134"/>
      <c r="AA71" s="134"/>
      <c r="AB71" s="134"/>
      <c r="AE71" s="134"/>
      <c r="AF71" s="134"/>
      <c r="AI71" s="134"/>
      <c r="AJ71" s="134"/>
      <c r="AM71" s="134"/>
      <c r="AN71" s="134"/>
      <c r="AQ71" s="134"/>
      <c r="AR71" s="134"/>
      <c r="AU71" s="134"/>
      <c r="AV71" s="134"/>
      <c r="AY71" s="134"/>
      <c r="AZ71" s="134"/>
      <c r="BC71" s="134"/>
      <c r="BD71" s="134"/>
      <c r="BG71" s="134"/>
      <c r="BH71" s="134"/>
      <c r="BK71" s="134"/>
      <c r="BL71" s="134"/>
      <c r="BO71" s="134"/>
      <c r="BP71" s="134"/>
      <c r="BS71" s="134"/>
      <c r="BT71" s="134"/>
      <c r="BW71" s="134"/>
      <c r="BX71" s="134"/>
      <c r="CA71" s="134"/>
      <c r="CB71" s="134"/>
      <c r="CE71" s="134"/>
      <c r="CF71" s="134"/>
      <c r="CI71" s="134"/>
      <c r="CJ71" s="134"/>
      <c r="CM71" s="134"/>
      <c r="CN71" s="134"/>
      <c r="CQ71" s="134"/>
      <c r="CR71" s="134"/>
      <c r="CU71" s="134"/>
      <c r="CV71" s="134"/>
      <c r="CY71" s="134"/>
      <c r="CZ71" s="134"/>
      <c r="DC71" s="134"/>
      <c r="DD71" s="134"/>
      <c r="DG71" s="134"/>
      <c r="DH71" s="134"/>
      <c r="DK71" s="134"/>
      <c r="DL71" s="134"/>
      <c r="DO71" s="134"/>
      <c r="DP71" s="134"/>
      <c r="DS71" s="134"/>
      <c r="DT71" s="134"/>
      <c r="DW71" s="134"/>
      <c r="DX71" s="134"/>
      <c r="EA71" s="134"/>
      <c r="EB71" s="3"/>
      <c r="EC71" s="126"/>
      <c r="ED71" s="3"/>
      <c r="EE71" s="3"/>
      <c r="EF71" s="3"/>
      <c r="EG71" s="3"/>
    </row>
    <row r="72" ht="16.5" customHeight="1">
      <c r="A72" s="3"/>
      <c r="B72" s="3"/>
      <c r="C72" s="3"/>
      <c r="D72" s="3"/>
      <c r="E72" s="3"/>
      <c r="F72" s="3"/>
      <c r="H72" s="134"/>
      <c r="K72" s="134"/>
      <c r="L72" s="134"/>
      <c r="O72" s="134"/>
      <c r="P72" s="134"/>
      <c r="S72" s="134"/>
      <c r="T72" s="134"/>
      <c r="W72" s="134"/>
      <c r="X72" s="134"/>
      <c r="AA72" s="134"/>
      <c r="AB72" s="134"/>
      <c r="AE72" s="134"/>
      <c r="AF72" s="134"/>
      <c r="AI72" s="134"/>
      <c r="AJ72" s="134"/>
      <c r="AM72" s="134"/>
      <c r="AN72" s="134"/>
      <c r="AQ72" s="134"/>
      <c r="AR72" s="134"/>
      <c r="AU72" s="134"/>
      <c r="AV72" s="134"/>
      <c r="AY72" s="134"/>
      <c r="AZ72" s="134"/>
      <c r="BC72" s="134"/>
      <c r="BD72" s="134"/>
      <c r="BG72" s="134"/>
      <c r="BH72" s="134"/>
      <c r="BK72" s="134"/>
      <c r="BL72" s="134"/>
      <c r="BO72" s="134"/>
      <c r="BP72" s="134"/>
      <c r="BS72" s="134"/>
      <c r="BT72" s="134"/>
      <c r="BW72" s="134"/>
      <c r="BX72" s="134"/>
      <c r="CA72" s="134"/>
      <c r="CB72" s="134"/>
      <c r="CE72" s="134"/>
      <c r="CF72" s="134"/>
      <c r="CI72" s="134"/>
      <c r="CJ72" s="134"/>
      <c r="CM72" s="134"/>
      <c r="CN72" s="134"/>
      <c r="CQ72" s="134"/>
      <c r="CR72" s="134"/>
      <c r="CU72" s="134"/>
      <c r="CV72" s="134"/>
      <c r="CY72" s="134"/>
      <c r="CZ72" s="134"/>
      <c r="DC72" s="134"/>
      <c r="DD72" s="134"/>
      <c r="DG72" s="134"/>
      <c r="DH72" s="134"/>
      <c r="DK72" s="134"/>
      <c r="DL72" s="134"/>
      <c r="DO72" s="134"/>
      <c r="DP72" s="134"/>
      <c r="DS72" s="134"/>
      <c r="DT72" s="134"/>
      <c r="DW72" s="134"/>
      <c r="DX72" s="134"/>
      <c r="EA72" s="134"/>
      <c r="EB72" s="3"/>
      <c r="EC72" s="126"/>
      <c r="ED72" s="3"/>
      <c r="EE72" s="3"/>
      <c r="EF72" s="3"/>
      <c r="EG72" s="3"/>
    </row>
    <row r="73" ht="16.5" customHeight="1">
      <c r="A73" s="3"/>
      <c r="B73" s="3"/>
      <c r="C73" s="3"/>
      <c r="D73" s="3"/>
      <c r="E73" s="3"/>
      <c r="F73" s="3"/>
      <c r="H73" s="134"/>
      <c r="K73" s="134"/>
      <c r="L73" s="134"/>
      <c r="O73" s="134"/>
      <c r="P73" s="134"/>
      <c r="S73" s="134"/>
      <c r="T73" s="134"/>
      <c r="W73" s="134"/>
      <c r="X73" s="134"/>
      <c r="AA73" s="134"/>
      <c r="AB73" s="134"/>
      <c r="AE73" s="134"/>
      <c r="AF73" s="134"/>
      <c r="AI73" s="134"/>
      <c r="AJ73" s="134"/>
      <c r="AM73" s="134"/>
      <c r="AN73" s="134"/>
      <c r="AQ73" s="134"/>
      <c r="AR73" s="134"/>
      <c r="AU73" s="134"/>
      <c r="AV73" s="134"/>
      <c r="AY73" s="134"/>
      <c r="AZ73" s="134"/>
      <c r="BC73" s="134"/>
      <c r="BD73" s="134"/>
      <c r="BG73" s="134"/>
      <c r="BH73" s="134"/>
      <c r="BK73" s="134"/>
      <c r="BL73" s="134"/>
      <c r="BO73" s="134"/>
      <c r="BP73" s="134"/>
      <c r="BS73" s="134"/>
      <c r="BT73" s="134"/>
      <c r="BW73" s="134"/>
      <c r="BX73" s="134"/>
      <c r="CA73" s="134"/>
      <c r="CB73" s="134"/>
      <c r="CE73" s="134"/>
      <c r="CF73" s="134"/>
      <c r="CI73" s="134"/>
      <c r="CJ73" s="134"/>
      <c r="CM73" s="134"/>
      <c r="CN73" s="134"/>
      <c r="CQ73" s="134"/>
      <c r="CR73" s="134"/>
      <c r="CU73" s="134"/>
      <c r="CV73" s="134"/>
      <c r="CY73" s="134"/>
      <c r="CZ73" s="134"/>
      <c r="DC73" s="134"/>
      <c r="DD73" s="134"/>
      <c r="DG73" s="134"/>
      <c r="DH73" s="134"/>
      <c r="DK73" s="134"/>
      <c r="DL73" s="134"/>
      <c r="DO73" s="134"/>
      <c r="DP73" s="134"/>
      <c r="DS73" s="134"/>
      <c r="DT73" s="134"/>
      <c r="DW73" s="134"/>
      <c r="DX73" s="134"/>
      <c r="EA73" s="134"/>
      <c r="EB73" s="3"/>
      <c r="EC73" s="126"/>
      <c r="ED73" s="3"/>
      <c r="EE73" s="3"/>
      <c r="EF73" s="3"/>
      <c r="EG73" s="3"/>
    </row>
    <row r="74" ht="16.5" customHeight="1">
      <c r="A74" s="3"/>
      <c r="B74" s="3"/>
      <c r="C74" s="3"/>
      <c r="D74" s="3"/>
      <c r="E74" s="3"/>
      <c r="F74" s="3"/>
      <c r="H74" s="134"/>
      <c r="K74" s="134"/>
      <c r="L74" s="134"/>
      <c r="O74" s="134"/>
      <c r="P74" s="134"/>
      <c r="S74" s="134"/>
      <c r="T74" s="134"/>
      <c r="W74" s="134"/>
      <c r="X74" s="134"/>
      <c r="AA74" s="134"/>
      <c r="AB74" s="134"/>
      <c r="AE74" s="134"/>
      <c r="AF74" s="134"/>
      <c r="AI74" s="134"/>
      <c r="AJ74" s="134"/>
      <c r="AM74" s="134"/>
      <c r="AN74" s="134"/>
      <c r="AQ74" s="134"/>
      <c r="AR74" s="134"/>
      <c r="AU74" s="134"/>
      <c r="AV74" s="134"/>
      <c r="AY74" s="134"/>
      <c r="AZ74" s="134"/>
      <c r="BC74" s="134"/>
      <c r="BD74" s="134"/>
      <c r="BG74" s="134"/>
      <c r="BH74" s="134"/>
      <c r="BK74" s="134"/>
      <c r="BL74" s="134"/>
      <c r="BO74" s="134"/>
      <c r="BP74" s="134"/>
      <c r="BS74" s="134"/>
      <c r="BT74" s="134"/>
      <c r="BW74" s="134"/>
      <c r="BX74" s="134"/>
      <c r="CA74" s="134"/>
      <c r="CB74" s="134"/>
      <c r="CE74" s="134"/>
      <c r="CF74" s="134"/>
      <c r="CI74" s="134"/>
      <c r="CJ74" s="134"/>
      <c r="CM74" s="134"/>
      <c r="CN74" s="134"/>
      <c r="CQ74" s="134"/>
      <c r="CR74" s="134"/>
      <c r="CU74" s="134"/>
      <c r="CV74" s="134"/>
      <c r="CY74" s="134"/>
      <c r="CZ74" s="134"/>
      <c r="DC74" s="134"/>
      <c r="DD74" s="134"/>
      <c r="DG74" s="134"/>
      <c r="DH74" s="134"/>
      <c r="DK74" s="134"/>
      <c r="DL74" s="134"/>
      <c r="DO74" s="134"/>
      <c r="DP74" s="134"/>
      <c r="DS74" s="134"/>
      <c r="DT74" s="134"/>
      <c r="DW74" s="134"/>
      <c r="DX74" s="134"/>
      <c r="EA74" s="134"/>
      <c r="EB74" s="3"/>
      <c r="EC74" s="126"/>
      <c r="ED74" s="3"/>
      <c r="EE74" s="3"/>
      <c r="EF74" s="3"/>
      <c r="EG74" s="3"/>
    </row>
    <row r="75" ht="16.5" customHeight="1">
      <c r="A75" s="3"/>
      <c r="B75" s="3"/>
      <c r="C75" s="3"/>
      <c r="D75" s="3"/>
      <c r="E75" s="3"/>
      <c r="F75" s="3"/>
      <c r="H75" s="134"/>
      <c r="K75" s="134"/>
      <c r="L75" s="134"/>
      <c r="O75" s="134"/>
      <c r="P75" s="134"/>
      <c r="S75" s="134"/>
      <c r="T75" s="134"/>
      <c r="W75" s="134"/>
      <c r="X75" s="134"/>
      <c r="AA75" s="134"/>
      <c r="AB75" s="134"/>
      <c r="AE75" s="134"/>
      <c r="AF75" s="134"/>
      <c r="AI75" s="134"/>
      <c r="AJ75" s="134"/>
      <c r="AM75" s="134"/>
      <c r="AN75" s="134"/>
      <c r="AQ75" s="134"/>
      <c r="AR75" s="134"/>
      <c r="AU75" s="134"/>
      <c r="AV75" s="134"/>
      <c r="AY75" s="134"/>
      <c r="AZ75" s="134"/>
      <c r="BC75" s="134"/>
      <c r="BD75" s="134"/>
      <c r="BG75" s="134"/>
      <c r="BH75" s="134"/>
      <c r="BK75" s="134"/>
      <c r="BL75" s="134"/>
      <c r="BO75" s="134"/>
      <c r="BP75" s="134"/>
      <c r="BS75" s="134"/>
      <c r="BT75" s="134"/>
      <c r="BW75" s="134"/>
      <c r="BX75" s="134"/>
      <c r="CA75" s="134"/>
      <c r="CB75" s="134"/>
      <c r="CE75" s="134"/>
      <c r="CF75" s="134"/>
      <c r="CI75" s="134"/>
      <c r="CJ75" s="134"/>
      <c r="CM75" s="134"/>
      <c r="CN75" s="134"/>
      <c r="CQ75" s="134"/>
      <c r="CR75" s="134"/>
      <c r="CU75" s="134"/>
      <c r="CV75" s="134"/>
      <c r="CY75" s="134"/>
      <c r="CZ75" s="134"/>
      <c r="DC75" s="134"/>
      <c r="DD75" s="134"/>
      <c r="DG75" s="134"/>
      <c r="DH75" s="134"/>
      <c r="DK75" s="134"/>
      <c r="DL75" s="134"/>
      <c r="DO75" s="134"/>
      <c r="DP75" s="134"/>
      <c r="DS75" s="134"/>
      <c r="DT75" s="134"/>
      <c r="DW75" s="134"/>
      <c r="DX75" s="134"/>
      <c r="EA75" s="134"/>
      <c r="EB75" s="3"/>
      <c r="EC75" s="126"/>
      <c r="ED75" s="3"/>
      <c r="EE75" s="3"/>
      <c r="EF75" s="3"/>
      <c r="EG75" s="3"/>
    </row>
    <row r="76" ht="16.5" customHeight="1">
      <c r="A76" s="3"/>
      <c r="B76" s="3"/>
      <c r="C76" s="3"/>
      <c r="D76" s="3"/>
      <c r="E76" s="3"/>
      <c r="F76" s="3"/>
      <c r="H76" s="134"/>
      <c r="K76" s="134"/>
      <c r="L76" s="134"/>
      <c r="O76" s="134"/>
      <c r="P76" s="134"/>
      <c r="S76" s="134"/>
      <c r="T76" s="134"/>
      <c r="W76" s="134"/>
      <c r="X76" s="134"/>
      <c r="AA76" s="134"/>
      <c r="AB76" s="134"/>
      <c r="AE76" s="134"/>
      <c r="AF76" s="134"/>
      <c r="AI76" s="134"/>
      <c r="AJ76" s="134"/>
      <c r="AM76" s="134"/>
      <c r="AN76" s="134"/>
      <c r="AQ76" s="134"/>
      <c r="AR76" s="134"/>
      <c r="AU76" s="134"/>
      <c r="AV76" s="134"/>
      <c r="AY76" s="134"/>
      <c r="AZ76" s="134"/>
      <c r="BC76" s="134"/>
      <c r="BD76" s="134"/>
      <c r="BG76" s="134"/>
      <c r="BH76" s="134"/>
      <c r="BK76" s="134"/>
      <c r="BL76" s="134"/>
      <c r="BO76" s="134"/>
      <c r="BP76" s="134"/>
      <c r="BS76" s="134"/>
      <c r="BT76" s="134"/>
      <c r="BW76" s="134"/>
      <c r="BX76" s="134"/>
      <c r="CA76" s="134"/>
      <c r="CB76" s="134"/>
      <c r="CE76" s="134"/>
      <c r="CF76" s="134"/>
      <c r="CI76" s="134"/>
      <c r="CJ76" s="134"/>
      <c r="CM76" s="134"/>
      <c r="CN76" s="134"/>
      <c r="CQ76" s="134"/>
      <c r="CR76" s="134"/>
      <c r="CU76" s="134"/>
      <c r="CV76" s="134"/>
      <c r="CY76" s="134"/>
      <c r="CZ76" s="134"/>
      <c r="DC76" s="134"/>
      <c r="DD76" s="134"/>
      <c r="DG76" s="134"/>
      <c r="DH76" s="134"/>
      <c r="DK76" s="134"/>
      <c r="DL76" s="134"/>
      <c r="DO76" s="134"/>
      <c r="DP76" s="134"/>
      <c r="DS76" s="134"/>
      <c r="DT76" s="134"/>
      <c r="DW76" s="134"/>
      <c r="DX76" s="134"/>
      <c r="EA76" s="134"/>
      <c r="EB76" s="3"/>
      <c r="EC76" s="126"/>
      <c r="ED76" s="3"/>
      <c r="EE76" s="3"/>
      <c r="EF76" s="3"/>
      <c r="EG76" s="3"/>
    </row>
    <row r="77" ht="16.5" customHeight="1">
      <c r="A77" s="3"/>
      <c r="B77" s="3"/>
      <c r="C77" s="3"/>
      <c r="D77" s="3"/>
      <c r="E77" s="3"/>
      <c r="F77" s="3"/>
      <c r="H77" s="134"/>
      <c r="K77" s="134"/>
      <c r="L77" s="134"/>
      <c r="O77" s="134"/>
      <c r="P77" s="134"/>
      <c r="S77" s="134"/>
      <c r="T77" s="134"/>
      <c r="W77" s="134"/>
      <c r="X77" s="134"/>
      <c r="AA77" s="134"/>
      <c r="AB77" s="134"/>
      <c r="AE77" s="134"/>
      <c r="AF77" s="134"/>
      <c r="AI77" s="134"/>
      <c r="AJ77" s="134"/>
      <c r="AM77" s="134"/>
      <c r="AN77" s="134"/>
      <c r="AQ77" s="134"/>
      <c r="AR77" s="134"/>
      <c r="AU77" s="134"/>
      <c r="AV77" s="134"/>
      <c r="AY77" s="134"/>
      <c r="AZ77" s="134"/>
      <c r="BC77" s="134"/>
      <c r="BD77" s="134"/>
      <c r="BG77" s="134"/>
      <c r="BH77" s="134"/>
      <c r="BK77" s="134"/>
      <c r="BL77" s="134"/>
      <c r="BO77" s="134"/>
      <c r="BP77" s="134"/>
      <c r="BS77" s="134"/>
      <c r="BT77" s="134"/>
      <c r="BW77" s="134"/>
      <c r="BX77" s="134"/>
      <c r="CA77" s="134"/>
      <c r="CB77" s="134"/>
      <c r="CE77" s="134"/>
      <c r="CF77" s="134"/>
      <c r="CI77" s="134"/>
      <c r="CJ77" s="134"/>
      <c r="CM77" s="134"/>
      <c r="CN77" s="134"/>
      <c r="CQ77" s="134"/>
      <c r="CR77" s="134"/>
      <c r="CU77" s="134"/>
      <c r="CV77" s="134"/>
      <c r="CY77" s="134"/>
      <c r="CZ77" s="134"/>
      <c r="DC77" s="134"/>
      <c r="DD77" s="134"/>
      <c r="DG77" s="134"/>
      <c r="DH77" s="134"/>
      <c r="DK77" s="134"/>
      <c r="DL77" s="134"/>
      <c r="DO77" s="134"/>
      <c r="DP77" s="134"/>
      <c r="DS77" s="134"/>
      <c r="DT77" s="134"/>
      <c r="DW77" s="134"/>
      <c r="DX77" s="134"/>
      <c r="EA77" s="134"/>
      <c r="EB77" s="3"/>
      <c r="EC77" s="126"/>
      <c r="ED77" s="3"/>
      <c r="EE77" s="3"/>
      <c r="EF77" s="3"/>
      <c r="EG77" s="3"/>
    </row>
    <row r="78" ht="16.5" customHeight="1">
      <c r="A78" s="3"/>
      <c r="B78" s="3"/>
      <c r="C78" s="3"/>
      <c r="D78" s="3"/>
      <c r="E78" s="3"/>
      <c r="F78" s="3"/>
      <c r="H78" s="134"/>
      <c r="K78" s="134"/>
      <c r="L78" s="134"/>
      <c r="O78" s="134"/>
      <c r="P78" s="134"/>
      <c r="S78" s="134"/>
      <c r="T78" s="134"/>
      <c r="W78" s="134"/>
      <c r="X78" s="134"/>
      <c r="AA78" s="134"/>
      <c r="AB78" s="134"/>
      <c r="AE78" s="134"/>
      <c r="AF78" s="134"/>
      <c r="AI78" s="134"/>
      <c r="AJ78" s="134"/>
      <c r="AM78" s="134"/>
      <c r="AN78" s="134"/>
      <c r="AQ78" s="134"/>
      <c r="AR78" s="134"/>
      <c r="AU78" s="134"/>
      <c r="AV78" s="134"/>
      <c r="AY78" s="134"/>
      <c r="AZ78" s="134"/>
      <c r="BC78" s="134"/>
      <c r="BD78" s="134"/>
      <c r="BG78" s="134"/>
      <c r="BH78" s="134"/>
      <c r="BK78" s="134"/>
      <c r="BL78" s="134"/>
      <c r="BO78" s="134"/>
      <c r="BP78" s="134"/>
      <c r="BS78" s="134"/>
      <c r="BT78" s="134"/>
      <c r="BW78" s="134"/>
      <c r="BX78" s="134"/>
      <c r="CA78" s="134"/>
      <c r="CB78" s="134"/>
      <c r="CE78" s="134"/>
      <c r="CF78" s="134"/>
      <c r="CI78" s="134"/>
      <c r="CJ78" s="134"/>
      <c r="CM78" s="134"/>
      <c r="CN78" s="134"/>
      <c r="CQ78" s="134"/>
      <c r="CR78" s="134"/>
      <c r="CU78" s="134"/>
      <c r="CV78" s="134"/>
      <c r="CY78" s="134"/>
      <c r="CZ78" s="134"/>
      <c r="DC78" s="134"/>
      <c r="DD78" s="134"/>
      <c r="DG78" s="134"/>
      <c r="DH78" s="134"/>
      <c r="DK78" s="134"/>
      <c r="DL78" s="134"/>
      <c r="DO78" s="134"/>
      <c r="DP78" s="134"/>
      <c r="DS78" s="134"/>
      <c r="DT78" s="134"/>
      <c r="DW78" s="134"/>
      <c r="DX78" s="134"/>
      <c r="EA78" s="134"/>
      <c r="EB78" s="3"/>
      <c r="EC78" s="126"/>
      <c r="ED78" s="3"/>
      <c r="EE78" s="3"/>
      <c r="EF78" s="3"/>
      <c r="EG78" s="3"/>
    </row>
    <row r="79" ht="16.5" customHeight="1">
      <c r="A79" s="3"/>
      <c r="B79" s="29"/>
      <c r="C79" s="3"/>
      <c r="D79" s="3"/>
      <c r="E79" s="3"/>
      <c r="F79" s="3"/>
      <c r="H79" s="134"/>
      <c r="K79" s="134"/>
      <c r="L79" s="134"/>
      <c r="O79" s="134"/>
      <c r="P79" s="134"/>
      <c r="S79" s="134"/>
      <c r="T79" s="134"/>
      <c r="W79" s="134"/>
      <c r="X79" s="134"/>
      <c r="AA79" s="134"/>
      <c r="AB79" s="134"/>
      <c r="AE79" s="134"/>
      <c r="AF79" s="134"/>
      <c r="AI79" s="134"/>
      <c r="AJ79" s="134"/>
      <c r="AM79" s="134"/>
      <c r="AN79" s="134"/>
      <c r="AQ79" s="134"/>
      <c r="AR79" s="134"/>
      <c r="AU79" s="134"/>
      <c r="AV79" s="134"/>
      <c r="AY79" s="134"/>
      <c r="AZ79" s="134"/>
      <c r="BC79" s="134"/>
      <c r="BD79" s="134"/>
      <c r="BG79" s="134"/>
      <c r="BH79" s="134"/>
      <c r="BK79" s="134"/>
      <c r="BL79" s="134"/>
      <c r="BO79" s="134"/>
      <c r="BP79" s="134"/>
      <c r="BS79" s="134"/>
      <c r="BT79" s="134"/>
      <c r="BW79" s="134"/>
      <c r="BX79" s="134"/>
      <c r="CA79" s="134"/>
      <c r="CB79" s="134"/>
      <c r="CE79" s="134"/>
      <c r="CF79" s="134"/>
      <c r="CI79" s="134"/>
      <c r="CJ79" s="134"/>
      <c r="CM79" s="134"/>
      <c r="CN79" s="134"/>
      <c r="CQ79" s="134"/>
      <c r="CR79" s="134"/>
      <c r="CU79" s="134"/>
      <c r="CV79" s="134"/>
      <c r="CY79" s="134"/>
      <c r="CZ79" s="134"/>
      <c r="DC79" s="134"/>
      <c r="DD79" s="134"/>
      <c r="DG79" s="134"/>
      <c r="DH79" s="134"/>
      <c r="DK79" s="134"/>
      <c r="DL79" s="134"/>
      <c r="DO79" s="134"/>
      <c r="DP79" s="134"/>
      <c r="DS79" s="134"/>
      <c r="DT79" s="134"/>
      <c r="DW79" s="134"/>
      <c r="DX79" s="134"/>
      <c r="EA79" s="134"/>
      <c r="EB79" s="3"/>
      <c r="EC79" s="126"/>
      <c r="ED79" s="3"/>
      <c r="EE79" s="3"/>
      <c r="EF79" s="3"/>
      <c r="EG79" s="3"/>
    </row>
    <row r="80" ht="16.5" customHeight="1">
      <c r="A80" s="3"/>
      <c r="B80" s="3"/>
      <c r="C80" s="3"/>
      <c r="D80" s="3"/>
      <c r="E80" s="3"/>
      <c r="F80" s="3"/>
      <c r="H80" s="134"/>
      <c r="K80" s="134"/>
      <c r="L80" s="134"/>
      <c r="O80" s="134"/>
      <c r="P80" s="134"/>
      <c r="S80" s="134"/>
      <c r="T80" s="134"/>
      <c r="W80" s="134"/>
      <c r="X80" s="134"/>
      <c r="AA80" s="134"/>
      <c r="AB80" s="134"/>
      <c r="AE80" s="134"/>
      <c r="AF80" s="134"/>
      <c r="AI80" s="134"/>
      <c r="AJ80" s="134"/>
      <c r="AM80" s="134"/>
      <c r="AN80" s="134"/>
      <c r="AQ80" s="134"/>
      <c r="AR80" s="134"/>
      <c r="AU80" s="134"/>
      <c r="AV80" s="134"/>
      <c r="AY80" s="134"/>
      <c r="AZ80" s="134"/>
      <c r="BC80" s="134"/>
      <c r="BD80" s="134"/>
      <c r="BG80" s="134"/>
      <c r="BH80" s="134"/>
      <c r="BK80" s="134"/>
      <c r="BL80" s="134"/>
      <c r="BO80" s="134"/>
      <c r="BP80" s="134"/>
      <c r="BS80" s="134"/>
      <c r="BT80" s="134"/>
      <c r="BW80" s="134"/>
      <c r="BX80" s="134"/>
      <c r="CA80" s="134"/>
      <c r="CB80" s="134"/>
      <c r="CE80" s="134"/>
      <c r="CF80" s="134"/>
      <c r="CI80" s="134"/>
      <c r="CJ80" s="134"/>
      <c r="CM80" s="134"/>
      <c r="CN80" s="134"/>
      <c r="CQ80" s="134"/>
      <c r="CR80" s="134"/>
      <c r="CU80" s="134"/>
      <c r="CV80" s="134"/>
      <c r="CY80" s="134"/>
      <c r="CZ80" s="134"/>
      <c r="DC80" s="134"/>
      <c r="DD80" s="134"/>
      <c r="DG80" s="134"/>
      <c r="DH80" s="134"/>
      <c r="DK80" s="134"/>
      <c r="DL80" s="134"/>
      <c r="DO80" s="134"/>
      <c r="DP80" s="134"/>
      <c r="DS80" s="134"/>
      <c r="DT80" s="134"/>
      <c r="DW80" s="134"/>
      <c r="DX80" s="134"/>
      <c r="EA80" s="134"/>
      <c r="EB80" s="3"/>
      <c r="EC80" s="126"/>
      <c r="ED80" s="3"/>
      <c r="EE80" s="3"/>
      <c r="EF80" s="3"/>
      <c r="EG80" s="3"/>
    </row>
    <row r="81" ht="16.5" customHeight="1">
      <c r="A81" s="3"/>
      <c r="B81" s="3"/>
      <c r="C81" s="3"/>
      <c r="D81" s="3"/>
      <c r="E81" s="3"/>
      <c r="F81" s="3"/>
      <c r="H81" s="134"/>
      <c r="K81" s="134"/>
      <c r="L81" s="134"/>
      <c r="O81" s="134"/>
      <c r="P81" s="134"/>
      <c r="S81" s="134"/>
      <c r="T81" s="134"/>
      <c r="W81" s="134"/>
      <c r="X81" s="134"/>
      <c r="AA81" s="134"/>
      <c r="AB81" s="134"/>
      <c r="AE81" s="134"/>
      <c r="AF81" s="134"/>
      <c r="AI81" s="134"/>
      <c r="AJ81" s="134"/>
      <c r="AM81" s="134"/>
      <c r="AN81" s="134"/>
      <c r="AQ81" s="134"/>
      <c r="AR81" s="134"/>
      <c r="AU81" s="134"/>
      <c r="AV81" s="134"/>
      <c r="AY81" s="134"/>
      <c r="AZ81" s="134"/>
      <c r="BC81" s="134"/>
      <c r="BD81" s="134"/>
      <c r="BG81" s="134"/>
      <c r="BH81" s="134"/>
      <c r="BK81" s="134"/>
      <c r="BL81" s="134"/>
      <c r="BO81" s="134"/>
      <c r="BP81" s="134"/>
      <c r="BS81" s="134"/>
      <c r="BT81" s="134"/>
      <c r="BW81" s="134"/>
      <c r="BX81" s="134"/>
      <c r="CA81" s="134"/>
      <c r="CB81" s="134"/>
      <c r="CE81" s="134"/>
      <c r="CF81" s="134"/>
      <c r="CI81" s="134"/>
      <c r="CJ81" s="134"/>
      <c r="CM81" s="134"/>
      <c r="CN81" s="134"/>
      <c r="CQ81" s="134"/>
      <c r="CR81" s="134"/>
      <c r="CU81" s="134"/>
      <c r="CV81" s="134"/>
      <c r="CY81" s="134"/>
      <c r="CZ81" s="134"/>
      <c r="DC81" s="134"/>
      <c r="DD81" s="134"/>
      <c r="DG81" s="134"/>
      <c r="DH81" s="134"/>
      <c r="DK81" s="134"/>
      <c r="DL81" s="134"/>
      <c r="DO81" s="134"/>
      <c r="DP81" s="134"/>
      <c r="DS81" s="134"/>
      <c r="DT81" s="134"/>
      <c r="DW81" s="134"/>
      <c r="DX81" s="134"/>
      <c r="EA81" s="134"/>
      <c r="EB81" s="3"/>
      <c r="EC81" s="126"/>
      <c r="ED81" s="3"/>
      <c r="EE81" s="3"/>
      <c r="EF81" s="3"/>
      <c r="EG81" s="3"/>
    </row>
    <row r="82" ht="16.5" customHeight="1">
      <c r="A82" s="3"/>
      <c r="B82" s="3"/>
      <c r="C82" s="3"/>
      <c r="D82" s="3"/>
      <c r="E82" s="3"/>
      <c r="F82" s="3"/>
      <c r="H82" s="134"/>
      <c r="K82" s="134"/>
      <c r="L82" s="134"/>
      <c r="O82" s="134"/>
      <c r="P82" s="134"/>
      <c r="S82" s="134"/>
      <c r="T82" s="134"/>
      <c r="W82" s="134"/>
      <c r="X82" s="134"/>
      <c r="AA82" s="134"/>
      <c r="AB82" s="134"/>
      <c r="AE82" s="134"/>
      <c r="AF82" s="134"/>
      <c r="AI82" s="134"/>
      <c r="AJ82" s="134"/>
      <c r="AM82" s="134"/>
      <c r="AN82" s="134"/>
      <c r="AQ82" s="134"/>
      <c r="AR82" s="134"/>
      <c r="AU82" s="134"/>
      <c r="AV82" s="134"/>
      <c r="AY82" s="134"/>
      <c r="AZ82" s="134"/>
      <c r="BC82" s="134"/>
      <c r="BD82" s="134"/>
      <c r="BG82" s="134"/>
      <c r="BH82" s="134"/>
      <c r="BK82" s="134"/>
      <c r="BL82" s="134"/>
      <c r="BO82" s="134"/>
      <c r="BP82" s="134"/>
      <c r="BS82" s="134"/>
      <c r="BT82" s="134"/>
      <c r="BW82" s="134"/>
      <c r="BX82" s="134"/>
      <c r="CA82" s="134"/>
      <c r="CB82" s="134"/>
      <c r="CE82" s="134"/>
      <c r="CF82" s="134"/>
      <c r="CI82" s="134"/>
      <c r="CJ82" s="134"/>
      <c r="CM82" s="134"/>
      <c r="CN82" s="134"/>
      <c r="CQ82" s="134"/>
      <c r="CR82" s="134"/>
      <c r="CU82" s="134"/>
      <c r="CV82" s="134"/>
      <c r="CY82" s="134"/>
      <c r="CZ82" s="134"/>
      <c r="DC82" s="134"/>
      <c r="DD82" s="134"/>
      <c r="DG82" s="134"/>
      <c r="DH82" s="134"/>
      <c r="DK82" s="134"/>
      <c r="DL82" s="134"/>
      <c r="DO82" s="134"/>
      <c r="DP82" s="134"/>
      <c r="DS82" s="134"/>
      <c r="DT82" s="134"/>
      <c r="DW82" s="134"/>
      <c r="DX82" s="134"/>
      <c r="EA82" s="134"/>
      <c r="EB82" s="3"/>
      <c r="EC82" s="126"/>
      <c r="ED82" s="3"/>
      <c r="EE82" s="3"/>
      <c r="EF82" s="3"/>
      <c r="EG82" s="3"/>
    </row>
    <row r="83" ht="16.5" customHeight="1">
      <c r="A83" s="3"/>
      <c r="B83" s="3"/>
      <c r="C83" s="3"/>
      <c r="D83" s="3"/>
      <c r="E83" s="3"/>
      <c r="F83" s="3"/>
      <c r="H83" s="134"/>
      <c r="K83" s="134"/>
      <c r="L83" s="134"/>
      <c r="O83" s="134"/>
      <c r="P83" s="134"/>
      <c r="S83" s="134"/>
      <c r="T83" s="134"/>
      <c r="W83" s="134"/>
      <c r="X83" s="134"/>
      <c r="AA83" s="134"/>
      <c r="AB83" s="134"/>
      <c r="AE83" s="134"/>
      <c r="AF83" s="134"/>
      <c r="AI83" s="134"/>
      <c r="AJ83" s="134"/>
      <c r="AM83" s="134"/>
      <c r="AN83" s="134"/>
      <c r="AQ83" s="134"/>
      <c r="AR83" s="134"/>
      <c r="AU83" s="134"/>
      <c r="AV83" s="134"/>
      <c r="AY83" s="134"/>
      <c r="AZ83" s="134"/>
      <c r="BC83" s="134"/>
      <c r="BD83" s="134"/>
      <c r="BG83" s="134"/>
      <c r="BH83" s="134"/>
      <c r="BK83" s="134"/>
      <c r="BL83" s="134"/>
      <c r="BO83" s="134"/>
      <c r="BP83" s="134"/>
      <c r="BS83" s="134"/>
      <c r="BT83" s="134"/>
      <c r="BW83" s="134"/>
      <c r="BX83" s="134"/>
      <c r="CA83" s="134"/>
      <c r="CB83" s="134"/>
      <c r="CE83" s="134"/>
      <c r="CF83" s="134"/>
      <c r="CI83" s="134"/>
      <c r="CJ83" s="134"/>
      <c r="CM83" s="134"/>
      <c r="CN83" s="134"/>
      <c r="CQ83" s="134"/>
      <c r="CR83" s="134"/>
      <c r="CU83" s="134"/>
      <c r="CV83" s="134"/>
      <c r="CY83" s="134"/>
      <c r="CZ83" s="134"/>
      <c r="DC83" s="134"/>
      <c r="DD83" s="134"/>
      <c r="DG83" s="134"/>
      <c r="DH83" s="134"/>
      <c r="DK83" s="134"/>
      <c r="DL83" s="134"/>
      <c r="DO83" s="134"/>
      <c r="DP83" s="134"/>
      <c r="DS83" s="134"/>
      <c r="DT83" s="134"/>
      <c r="DW83" s="134"/>
      <c r="DX83" s="134"/>
      <c r="EA83" s="134"/>
      <c r="EB83" s="3"/>
      <c r="EC83" s="126"/>
      <c r="ED83" s="3"/>
      <c r="EE83" s="3"/>
      <c r="EF83" s="3"/>
      <c r="EG83" s="3"/>
    </row>
    <row r="84" ht="16.5" customHeight="1">
      <c r="A84" s="3"/>
      <c r="B84" s="3"/>
      <c r="C84" s="3"/>
      <c r="D84" s="3"/>
      <c r="E84" s="3"/>
      <c r="F84" s="3"/>
      <c r="H84" s="134"/>
      <c r="K84" s="134"/>
      <c r="L84" s="134"/>
      <c r="O84" s="134"/>
      <c r="P84" s="134"/>
      <c r="S84" s="134"/>
      <c r="T84" s="134"/>
      <c r="W84" s="134"/>
      <c r="X84" s="134"/>
      <c r="AA84" s="134"/>
      <c r="AB84" s="134"/>
      <c r="AE84" s="134"/>
      <c r="AF84" s="134"/>
      <c r="AI84" s="134"/>
      <c r="AJ84" s="134"/>
      <c r="AM84" s="134"/>
      <c r="AN84" s="134"/>
      <c r="AQ84" s="134"/>
      <c r="AR84" s="134"/>
      <c r="AU84" s="134"/>
      <c r="AV84" s="134"/>
      <c r="AY84" s="134"/>
      <c r="AZ84" s="134"/>
      <c r="BC84" s="134"/>
      <c r="BD84" s="134"/>
      <c r="BG84" s="134"/>
      <c r="BH84" s="134"/>
      <c r="BK84" s="134"/>
      <c r="BL84" s="134"/>
      <c r="BO84" s="134"/>
      <c r="BP84" s="134"/>
      <c r="BS84" s="134"/>
      <c r="BT84" s="134"/>
      <c r="BW84" s="134"/>
      <c r="BX84" s="134"/>
      <c r="CA84" s="134"/>
      <c r="CB84" s="134"/>
      <c r="CE84" s="134"/>
      <c r="CF84" s="134"/>
      <c r="CI84" s="134"/>
      <c r="CJ84" s="134"/>
      <c r="CM84" s="134"/>
      <c r="CN84" s="134"/>
      <c r="CQ84" s="134"/>
      <c r="CR84" s="134"/>
      <c r="CU84" s="134"/>
      <c r="CV84" s="134"/>
      <c r="CY84" s="134"/>
      <c r="CZ84" s="134"/>
      <c r="DC84" s="134"/>
      <c r="DD84" s="134"/>
      <c r="DG84" s="134"/>
      <c r="DH84" s="134"/>
      <c r="DK84" s="134"/>
      <c r="DL84" s="134"/>
      <c r="DO84" s="134"/>
      <c r="DP84" s="134"/>
      <c r="DS84" s="134"/>
      <c r="DT84" s="134"/>
      <c r="DW84" s="134"/>
      <c r="DX84" s="134"/>
      <c r="EA84" s="134"/>
      <c r="EB84" s="3"/>
      <c r="EC84" s="126"/>
      <c r="ED84" s="3"/>
      <c r="EE84" s="3"/>
      <c r="EF84" s="3"/>
      <c r="EG84" s="3"/>
    </row>
    <row r="85" ht="16.5" customHeight="1">
      <c r="A85" s="3"/>
      <c r="B85" s="3"/>
      <c r="C85" s="3"/>
      <c r="D85" s="3"/>
      <c r="E85" s="3"/>
      <c r="F85" s="3"/>
      <c r="H85" s="134"/>
      <c r="K85" s="134"/>
      <c r="L85" s="134"/>
      <c r="O85" s="134"/>
      <c r="P85" s="134"/>
      <c r="S85" s="134"/>
      <c r="T85" s="134"/>
      <c r="W85" s="134"/>
      <c r="X85" s="134"/>
      <c r="AA85" s="134"/>
      <c r="AB85" s="134"/>
      <c r="AE85" s="134"/>
      <c r="AF85" s="134"/>
      <c r="AI85" s="134"/>
      <c r="AJ85" s="134"/>
      <c r="AM85" s="134"/>
      <c r="AN85" s="134"/>
      <c r="AQ85" s="134"/>
      <c r="AR85" s="134"/>
      <c r="AU85" s="134"/>
      <c r="AV85" s="134"/>
      <c r="AY85" s="134"/>
      <c r="AZ85" s="134"/>
      <c r="BC85" s="134"/>
      <c r="BD85" s="134"/>
      <c r="BG85" s="134"/>
      <c r="BH85" s="134"/>
      <c r="BK85" s="134"/>
      <c r="BL85" s="134"/>
      <c r="BO85" s="134"/>
      <c r="BP85" s="134"/>
      <c r="BS85" s="134"/>
      <c r="BT85" s="134"/>
      <c r="BW85" s="134"/>
      <c r="BX85" s="134"/>
      <c r="CA85" s="134"/>
      <c r="CB85" s="134"/>
      <c r="CE85" s="134"/>
      <c r="CF85" s="134"/>
      <c r="CI85" s="134"/>
      <c r="CJ85" s="134"/>
      <c r="CM85" s="134"/>
      <c r="CN85" s="134"/>
      <c r="CQ85" s="134"/>
      <c r="CR85" s="134"/>
      <c r="CU85" s="134"/>
      <c r="CV85" s="134"/>
      <c r="CY85" s="134"/>
      <c r="CZ85" s="134"/>
      <c r="DC85" s="134"/>
      <c r="DD85" s="134"/>
      <c r="DG85" s="134"/>
      <c r="DH85" s="134"/>
      <c r="DK85" s="134"/>
      <c r="DL85" s="134"/>
      <c r="DO85" s="134"/>
      <c r="DP85" s="134"/>
      <c r="DS85" s="134"/>
      <c r="DT85" s="134"/>
      <c r="DW85" s="134"/>
      <c r="DX85" s="134"/>
      <c r="EA85" s="134"/>
      <c r="EB85" s="3"/>
      <c r="EC85" s="126"/>
      <c r="ED85" s="3"/>
      <c r="EE85" s="3"/>
      <c r="EF85" s="3"/>
      <c r="EG85" s="3"/>
    </row>
    <row r="86" ht="16.5" customHeight="1">
      <c r="A86" s="3"/>
      <c r="B86" s="3"/>
      <c r="C86" s="3"/>
      <c r="D86" s="3"/>
      <c r="E86" s="3"/>
      <c r="F86" s="3"/>
      <c r="H86" s="134"/>
      <c r="K86" s="134"/>
      <c r="L86" s="134"/>
      <c r="O86" s="134"/>
      <c r="P86" s="134"/>
      <c r="S86" s="134"/>
      <c r="T86" s="134"/>
      <c r="W86" s="134"/>
      <c r="X86" s="134"/>
      <c r="AA86" s="134"/>
      <c r="AB86" s="134"/>
      <c r="AE86" s="134"/>
      <c r="AF86" s="134"/>
      <c r="AI86" s="134"/>
      <c r="AJ86" s="134"/>
      <c r="AM86" s="134"/>
      <c r="AN86" s="134"/>
      <c r="AQ86" s="134"/>
      <c r="AR86" s="134"/>
      <c r="AU86" s="134"/>
      <c r="AV86" s="134"/>
      <c r="AY86" s="134"/>
      <c r="AZ86" s="134"/>
      <c r="BC86" s="134"/>
      <c r="BD86" s="134"/>
      <c r="BG86" s="134"/>
      <c r="BH86" s="134"/>
      <c r="BK86" s="134"/>
      <c r="BL86" s="134"/>
      <c r="BO86" s="134"/>
      <c r="BP86" s="134"/>
      <c r="BS86" s="134"/>
      <c r="BT86" s="134"/>
      <c r="BW86" s="134"/>
      <c r="BX86" s="134"/>
      <c r="CA86" s="134"/>
      <c r="CB86" s="134"/>
      <c r="CE86" s="134"/>
      <c r="CF86" s="134"/>
      <c r="CI86" s="134"/>
      <c r="CJ86" s="134"/>
      <c r="CM86" s="134"/>
      <c r="CN86" s="134"/>
      <c r="CQ86" s="134"/>
      <c r="CR86" s="134"/>
      <c r="CU86" s="134"/>
      <c r="CV86" s="134"/>
      <c r="CY86" s="134"/>
      <c r="CZ86" s="134"/>
      <c r="DC86" s="134"/>
      <c r="DD86" s="134"/>
      <c r="DG86" s="134"/>
      <c r="DH86" s="134"/>
      <c r="DK86" s="134"/>
      <c r="DL86" s="134"/>
      <c r="DO86" s="134"/>
      <c r="DP86" s="134"/>
      <c r="DS86" s="134"/>
      <c r="DT86" s="134"/>
      <c r="DW86" s="134"/>
      <c r="DX86" s="134"/>
      <c r="EA86" s="134"/>
      <c r="EB86" s="3"/>
      <c r="EC86" s="126"/>
      <c r="ED86" s="3"/>
      <c r="EE86" s="3"/>
      <c r="EF86" s="3"/>
      <c r="EG86" s="3"/>
    </row>
    <row r="87" ht="16.5" customHeight="1">
      <c r="A87" s="219"/>
      <c r="B87" s="220"/>
      <c r="C87" s="122"/>
      <c r="D87" s="122"/>
      <c r="E87" s="3"/>
      <c r="F87" s="13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126"/>
      <c r="ED87" s="3"/>
      <c r="EE87" s="3"/>
      <c r="EF87" s="3"/>
      <c r="EG87" s="3"/>
    </row>
    <row r="88" ht="16.5" customHeight="1">
      <c r="A88" s="3"/>
      <c r="B88" s="3"/>
      <c r="C88" s="3"/>
      <c r="D88" s="3"/>
      <c r="E88" s="3"/>
      <c r="F88" s="13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126"/>
      <c r="ED88" s="3"/>
      <c r="EE88" s="3"/>
      <c r="EF88" s="3"/>
      <c r="EG88" s="3"/>
    </row>
    <row r="89" ht="16.5" customHeight="1">
      <c r="A89" s="3"/>
      <c r="B89" s="3"/>
      <c r="C89" s="3"/>
      <c r="D89" s="3"/>
      <c r="E89" s="3"/>
      <c r="F89" s="13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126"/>
      <c r="ED89" s="3"/>
      <c r="EE89" s="3"/>
      <c r="EF89" s="3"/>
      <c r="EG89" s="3"/>
    </row>
    <row r="90" ht="16.5" customHeight="1">
      <c r="A90" s="3"/>
      <c r="B90" s="3"/>
      <c r="C90" s="3"/>
      <c r="D90" s="3"/>
      <c r="E90" s="3"/>
      <c r="F90" s="13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126"/>
      <c r="ED90" s="3"/>
      <c r="EE90" s="3"/>
      <c r="EF90" s="3"/>
      <c r="EG90" s="3"/>
    </row>
    <row r="91" ht="16.5" customHeight="1">
      <c r="A91" s="3"/>
      <c r="B91" s="3"/>
      <c r="C91" s="3"/>
      <c r="D91" s="3"/>
      <c r="E91" s="3"/>
      <c r="F91" s="13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126"/>
      <c r="ED91" s="3"/>
      <c r="EE91" s="3"/>
      <c r="EF91" s="3"/>
      <c r="EG91" s="3"/>
    </row>
    <row r="92" ht="16.5" customHeight="1">
      <c r="A92" s="3"/>
      <c r="B92" s="3"/>
      <c r="C92" s="3"/>
      <c r="D92" s="3"/>
      <c r="E92" s="3"/>
      <c r="F92" s="13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126"/>
      <c r="ED92" s="3"/>
      <c r="EE92" s="3"/>
      <c r="EF92" s="3"/>
      <c r="EG92" s="3"/>
    </row>
    <row r="93" ht="16.5" customHeight="1">
      <c r="A93" s="3"/>
      <c r="B93" s="3"/>
      <c r="C93" s="3"/>
      <c r="D93" s="3"/>
      <c r="E93" s="3"/>
      <c r="F93" s="13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126"/>
      <c r="ED93" s="3"/>
      <c r="EE93" s="3"/>
      <c r="EF93" s="3"/>
      <c r="EG93" s="3"/>
    </row>
    <row r="94" ht="16.5" customHeight="1">
      <c r="A94" s="3"/>
      <c r="B94" s="3"/>
      <c r="C94" s="3"/>
      <c r="D94" s="3"/>
      <c r="E94" s="3"/>
      <c r="F94" s="13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126"/>
      <c r="ED94" s="3"/>
      <c r="EE94" s="3"/>
      <c r="EF94" s="3"/>
      <c r="EG94" s="3"/>
    </row>
    <row r="95" ht="16.5" customHeight="1">
      <c r="A95" s="3"/>
      <c r="B95" s="3"/>
      <c r="C95" s="3"/>
      <c r="D95" s="3"/>
      <c r="E95" s="3"/>
      <c r="F95" s="13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126"/>
      <c r="ED95" s="3"/>
      <c r="EE95" s="3"/>
      <c r="EF95" s="3"/>
      <c r="EG95" s="3"/>
    </row>
    <row r="96" ht="16.5" customHeight="1">
      <c r="A96" s="3"/>
      <c r="B96" s="3"/>
      <c r="C96" s="3"/>
      <c r="D96" s="3"/>
      <c r="E96" s="3"/>
      <c r="F96" s="13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126"/>
      <c r="ED96" s="3"/>
      <c r="EE96" s="3"/>
      <c r="EF96" s="3"/>
      <c r="EG96" s="3"/>
    </row>
    <row r="97" ht="16.5" customHeight="1">
      <c r="A97" s="3"/>
      <c r="B97" s="3"/>
      <c r="C97" s="3"/>
      <c r="D97" s="3"/>
      <c r="E97" s="3"/>
      <c r="F97" s="13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126"/>
      <c r="ED97" s="3"/>
      <c r="EE97" s="3"/>
      <c r="EF97" s="3"/>
      <c r="EG97" s="3"/>
    </row>
    <row r="98" ht="16.5" customHeight="1">
      <c r="A98" s="3"/>
      <c r="B98" s="3"/>
      <c r="C98" s="3"/>
      <c r="D98" s="3"/>
      <c r="E98" s="3"/>
      <c r="F98" s="13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126"/>
      <c r="ED98" s="3"/>
      <c r="EE98" s="3"/>
      <c r="EF98" s="3"/>
      <c r="EG98" s="3"/>
    </row>
    <row r="99" ht="16.5" customHeight="1">
      <c r="A99" s="3"/>
      <c r="B99" s="3"/>
      <c r="C99" s="3"/>
      <c r="D99" s="3"/>
      <c r="E99" s="3"/>
      <c r="F99" s="13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126"/>
      <c r="ED99" s="3"/>
      <c r="EE99" s="3"/>
      <c r="EF99" s="3"/>
      <c r="EG99" s="3"/>
    </row>
    <row r="100" ht="16.5" customHeight="1">
      <c r="A100" s="3"/>
      <c r="B100" s="3"/>
      <c r="C100" s="3"/>
      <c r="D100" s="3"/>
      <c r="E100" s="3"/>
      <c r="F100" s="13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126"/>
      <c r="ED100" s="3"/>
      <c r="EE100" s="3"/>
      <c r="EF100" s="3"/>
      <c r="EG100" s="3"/>
    </row>
    <row r="101" ht="16.5" customHeight="1">
      <c r="A101" s="3"/>
      <c r="B101" s="3"/>
      <c r="C101" s="3"/>
      <c r="D101" s="3"/>
      <c r="E101" s="3"/>
      <c r="F101" s="13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126"/>
      <c r="ED101" s="3"/>
      <c r="EE101" s="3"/>
      <c r="EF101" s="3"/>
      <c r="EG101" s="3"/>
    </row>
    <row r="102" ht="16.5" customHeight="1">
      <c r="A102" s="3"/>
      <c r="B102" s="3"/>
      <c r="C102" s="3"/>
      <c r="D102" s="3"/>
      <c r="E102" s="3"/>
      <c r="F102" s="13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126"/>
      <c r="ED102" s="3"/>
      <c r="EE102" s="3"/>
      <c r="EF102" s="3"/>
      <c r="EG102" s="3"/>
    </row>
    <row r="103" ht="16.5" customHeight="1">
      <c r="A103" s="3"/>
      <c r="B103" s="3"/>
      <c r="C103" s="3"/>
      <c r="D103" s="3"/>
      <c r="E103" s="3"/>
      <c r="F103" s="13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126"/>
      <c r="ED103" s="3"/>
      <c r="EE103" s="3"/>
      <c r="EF103" s="3"/>
      <c r="EG103" s="3"/>
    </row>
    <row r="104" ht="16.5" customHeight="1">
      <c r="A104" s="3"/>
      <c r="B104" s="3"/>
      <c r="C104" s="3"/>
      <c r="D104" s="3"/>
      <c r="E104" s="3"/>
      <c r="F104" s="13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126"/>
      <c r="ED104" s="3"/>
      <c r="EE104" s="3"/>
      <c r="EF104" s="3"/>
      <c r="EG104" s="3"/>
    </row>
    <row r="105" ht="16.5" customHeight="1">
      <c r="A105" s="3"/>
      <c r="B105" s="3"/>
      <c r="C105" s="3"/>
      <c r="D105" s="3"/>
      <c r="E105" s="3"/>
      <c r="F105" s="13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126"/>
      <c r="ED105" s="3"/>
      <c r="EE105" s="3"/>
      <c r="EF105" s="3"/>
      <c r="EG105" s="3"/>
    </row>
    <row r="106" ht="16.5" customHeight="1">
      <c r="A106" s="3"/>
      <c r="B106" s="3"/>
      <c r="C106" s="3"/>
      <c r="D106" s="3"/>
      <c r="E106" s="3"/>
      <c r="F106" s="13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126"/>
      <c r="ED106" s="3"/>
      <c r="EE106" s="3"/>
      <c r="EF106" s="3"/>
      <c r="EG106" s="3"/>
    </row>
    <row r="107" ht="16.5" customHeight="1">
      <c r="A107" s="3"/>
      <c r="B107" s="3"/>
      <c r="C107" s="3"/>
      <c r="D107" s="3"/>
      <c r="E107" s="3"/>
      <c r="F107" s="13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126"/>
      <c r="ED107" s="3"/>
      <c r="EE107" s="3"/>
      <c r="EF107" s="3"/>
      <c r="EG107" s="3"/>
    </row>
    <row r="108" ht="16.5" customHeight="1">
      <c r="A108" s="3"/>
      <c r="B108" s="3"/>
      <c r="C108" s="3"/>
      <c r="D108" s="3"/>
      <c r="E108" s="3"/>
      <c r="F108" s="13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126"/>
      <c r="ED108" s="3"/>
      <c r="EE108" s="3"/>
      <c r="EF108" s="3"/>
      <c r="EG108" s="3"/>
    </row>
    <row r="109" ht="16.5" customHeight="1">
      <c r="A109" s="3"/>
      <c r="B109" s="3"/>
      <c r="C109" s="3"/>
      <c r="D109" s="3"/>
      <c r="E109" s="3"/>
      <c r="F109" s="13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126"/>
      <c r="ED109" s="3"/>
      <c r="EE109" s="3"/>
      <c r="EF109" s="3"/>
      <c r="EG109" s="3"/>
    </row>
    <row r="110" ht="16.5" customHeight="1">
      <c r="A110" s="3"/>
      <c r="B110" s="3"/>
      <c r="C110" s="3"/>
      <c r="D110" s="3"/>
      <c r="E110" s="3"/>
      <c r="F110" s="13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126"/>
      <c r="ED110" s="3"/>
      <c r="EE110" s="3"/>
      <c r="EF110" s="3"/>
      <c r="EG110" s="3"/>
    </row>
    <row r="111" ht="16.5" customHeight="1">
      <c r="A111" s="3"/>
      <c r="B111" s="3"/>
      <c r="C111" s="3"/>
      <c r="D111" s="3"/>
      <c r="E111" s="3"/>
      <c r="F111" s="13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126"/>
      <c r="ED111" s="3"/>
      <c r="EE111" s="3"/>
      <c r="EF111" s="3"/>
      <c r="EG111" s="3"/>
    </row>
    <row r="112" ht="16.5" customHeight="1">
      <c r="A112" s="3"/>
      <c r="B112" s="3"/>
      <c r="C112" s="3"/>
      <c r="D112" s="3"/>
      <c r="E112" s="3"/>
      <c r="F112" s="13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126"/>
      <c r="ED112" s="3"/>
      <c r="EE112" s="3"/>
      <c r="EF112" s="3"/>
      <c r="EG112" s="3"/>
    </row>
    <row r="113" ht="16.5" customHeight="1">
      <c r="A113" s="3"/>
      <c r="B113" s="3"/>
      <c r="C113" s="3"/>
      <c r="D113" s="3"/>
      <c r="E113" s="3"/>
      <c r="F113" s="13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126"/>
      <c r="ED113" s="3"/>
      <c r="EE113" s="3"/>
      <c r="EF113" s="3"/>
      <c r="EG113" s="3"/>
    </row>
    <row r="114" ht="16.5" customHeight="1">
      <c r="A114" s="3"/>
      <c r="B114" s="3"/>
      <c r="C114" s="3"/>
      <c r="D114" s="3"/>
      <c r="E114" s="3"/>
      <c r="F114" s="13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126"/>
      <c r="ED114" s="3"/>
      <c r="EE114" s="3"/>
      <c r="EF114" s="3"/>
      <c r="EG114" s="3"/>
    </row>
    <row r="115" ht="16.5" customHeight="1">
      <c r="A115" s="3"/>
      <c r="B115" s="3"/>
      <c r="C115" s="3"/>
      <c r="D115" s="3"/>
      <c r="E115" s="3"/>
      <c r="F115" s="13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126"/>
      <c r="ED115" s="3"/>
      <c r="EE115" s="3"/>
      <c r="EF115" s="3"/>
      <c r="EG115" s="3"/>
    </row>
    <row r="116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126"/>
      <c r="ED116" s="3"/>
      <c r="EE116" s="3"/>
      <c r="EF116" s="3"/>
      <c r="EG116" s="3"/>
    </row>
    <row r="117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126"/>
      <c r="ED117" s="3"/>
      <c r="EE117" s="3"/>
      <c r="EF117" s="3"/>
      <c r="EG117" s="3"/>
    </row>
    <row r="118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126"/>
      <c r="ED118" s="3"/>
      <c r="EE118" s="3"/>
      <c r="EF118" s="3"/>
      <c r="EG118" s="3"/>
    </row>
    <row r="119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126"/>
      <c r="ED119" s="3"/>
      <c r="EE119" s="3"/>
      <c r="EF119" s="3"/>
      <c r="EG119" s="3"/>
    </row>
    <row r="120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126"/>
      <c r="ED120" s="3"/>
      <c r="EE120" s="3"/>
      <c r="EF120" s="3"/>
      <c r="EG120" s="3"/>
    </row>
    <row r="121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126"/>
      <c r="ED121" s="3"/>
      <c r="EE121" s="3"/>
      <c r="EF121" s="3"/>
      <c r="EG121" s="3"/>
    </row>
    <row r="122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126"/>
      <c r="ED122" s="3"/>
      <c r="EE122" s="3"/>
      <c r="EF122" s="3"/>
      <c r="EG122" s="3"/>
    </row>
    <row r="123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126"/>
      <c r="ED123" s="3"/>
      <c r="EE123" s="3"/>
      <c r="EF123" s="3"/>
      <c r="EG123" s="3"/>
    </row>
    <row r="12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126"/>
      <c r="ED124" s="3"/>
      <c r="EE124" s="3"/>
      <c r="EF124" s="3"/>
      <c r="EG124" s="3"/>
    </row>
    <row r="125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126"/>
      <c r="ED125" s="3"/>
      <c r="EE125" s="3"/>
      <c r="EF125" s="3"/>
      <c r="EG125" s="3"/>
    </row>
    <row r="126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126"/>
      <c r="ED126" s="3"/>
      <c r="EE126" s="3"/>
      <c r="EF126" s="3"/>
      <c r="EG126" s="3"/>
    </row>
    <row r="127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126"/>
      <c r="ED127" s="3"/>
      <c r="EE127" s="3"/>
      <c r="EF127" s="3"/>
      <c r="EG127" s="3"/>
    </row>
    <row r="128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126"/>
      <c r="ED128" s="3"/>
      <c r="EE128" s="3"/>
      <c r="EF128" s="3"/>
      <c r="EG128" s="3"/>
    </row>
    <row r="129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126"/>
      <c r="ED129" s="3"/>
      <c r="EE129" s="3"/>
      <c r="EF129" s="3"/>
      <c r="EG129" s="3"/>
    </row>
    <row r="130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126"/>
      <c r="ED130" s="3"/>
      <c r="EE130" s="3"/>
      <c r="EF130" s="3"/>
      <c r="EG130" s="3"/>
    </row>
    <row r="131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126"/>
      <c r="ED131" s="3"/>
      <c r="EE131" s="3"/>
      <c r="EF131" s="3"/>
      <c r="EG131" s="3"/>
    </row>
    <row r="132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126"/>
      <c r="ED132" s="3"/>
      <c r="EE132" s="3"/>
      <c r="EF132" s="3"/>
      <c r="EG132" s="3"/>
    </row>
    <row r="133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126"/>
      <c r="ED133" s="3"/>
      <c r="EE133" s="3"/>
      <c r="EF133" s="3"/>
      <c r="EG133" s="3"/>
    </row>
    <row r="13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126"/>
      <c r="ED134" s="3"/>
      <c r="EE134" s="3"/>
      <c r="EF134" s="3"/>
      <c r="EG134" s="3"/>
    </row>
    <row r="135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126"/>
      <c r="ED135" s="3"/>
      <c r="EE135" s="3"/>
      <c r="EF135" s="3"/>
      <c r="EG135" s="3"/>
    </row>
    <row r="136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126"/>
      <c r="ED136" s="3"/>
      <c r="EE136" s="3"/>
      <c r="EF136" s="3"/>
      <c r="EG136" s="3"/>
    </row>
    <row r="137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126"/>
      <c r="ED137" s="3"/>
      <c r="EE137" s="3"/>
      <c r="EF137" s="3"/>
      <c r="EG137" s="3"/>
    </row>
    <row r="138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126"/>
      <c r="ED138" s="3"/>
      <c r="EE138" s="3"/>
      <c r="EF138" s="3"/>
      <c r="EG138" s="3"/>
    </row>
    <row r="139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126"/>
      <c r="ED139" s="3"/>
      <c r="EE139" s="3"/>
      <c r="EF139" s="3"/>
      <c r="EG139" s="3"/>
    </row>
    <row r="140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126"/>
      <c r="ED140" s="3"/>
      <c r="EE140" s="3"/>
      <c r="EF140" s="3"/>
      <c r="EG140" s="3"/>
    </row>
    <row r="141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126"/>
      <c r="ED141" s="3"/>
      <c r="EE141" s="3"/>
      <c r="EF141" s="3"/>
      <c r="EG141" s="3"/>
    </row>
    <row r="142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126"/>
      <c r="ED142" s="3"/>
      <c r="EE142" s="3"/>
      <c r="EF142" s="3"/>
      <c r="EG142" s="3"/>
    </row>
    <row r="143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126"/>
      <c r="ED143" s="3"/>
      <c r="EE143" s="3"/>
      <c r="EF143" s="3"/>
      <c r="EG143" s="3"/>
    </row>
    <row r="14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126"/>
      <c r="ED144" s="3"/>
      <c r="EE144" s="3"/>
      <c r="EF144" s="3"/>
      <c r="EG144" s="3"/>
    </row>
    <row r="145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126"/>
      <c r="ED145" s="3"/>
      <c r="EE145" s="3"/>
      <c r="EF145" s="3"/>
      <c r="EG145" s="3"/>
    </row>
    <row r="146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126"/>
      <c r="ED146" s="3"/>
      <c r="EE146" s="3"/>
      <c r="EF146" s="3"/>
      <c r="EG146" s="3"/>
    </row>
    <row r="147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126"/>
      <c r="ED147" s="3"/>
      <c r="EE147" s="3"/>
      <c r="EF147" s="3"/>
      <c r="EG147" s="3"/>
    </row>
    <row r="148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126"/>
      <c r="ED148" s="3"/>
      <c r="EE148" s="3"/>
      <c r="EF148" s="3"/>
      <c r="EG148" s="3"/>
    </row>
    <row r="149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126"/>
      <c r="ED149" s="3"/>
      <c r="EE149" s="3"/>
      <c r="EF149" s="3"/>
      <c r="EG149" s="3"/>
    </row>
    <row r="150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126"/>
      <c r="ED150" s="3"/>
      <c r="EE150" s="3"/>
      <c r="EF150" s="3"/>
      <c r="EG150" s="3"/>
    </row>
    <row r="151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126"/>
      <c r="ED151" s="3"/>
      <c r="EE151" s="3"/>
      <c r="EF151" s="3"/>
      <c r="EG151" s="3"/>
    </row>
    <row r="152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126"/>
      <c r="ED152" s="3"/>
      <c r="EE152" s="3"/>
      <c r="EF152" s="3"/>
      <c r="EG152" s="3"/>
    </row>
    <row r="153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126"/>
      <c r="ED153" s="3"/>
      <c r="EE153" s="3"/>
      <c r="EF153" s="3"/>
      <c r="EG153" s="3"/>
    </row>
    <row r="15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126"/>
      <c r="ED154" s="3"/>
      <c r="EE154" s="3"/>
      <c r="EF154" s="3"/>
      <c r="EG154" s="3"/>
    </row>
    <row r="155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126"/>
      <c r="ED155" s="3"/>
      <c r="EE155" s="3"/>
      <c r="EF155" s="3"/>
      <c r="EG155" s="3"/>
    </row>
    <row r="156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126"/>
      <c r="ED156" s="3"/>
      <c r="EE156" s="3"/>
      <c r="EF156" s="3"/>
      <c r="EG156" s="3"/>
    </row>
    <row r="157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126"/>
      <c r="ED157" s="3"/>
      <c r="EE157" s="3"/>
      <c r="EF157" s="3"/>
      <c r="EG157" s="3"/>
    </row>
    <row r="158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126"/>
      <c r="ED158" s="3"/>
      <c r="EE158" s="3"/>
      <c r="EF158" s="3"/>
      <c r="EG158" s="3"/>
    </row>
    <row r="159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126"/>
      <c r="ED159" s="3"/>
      <c r="EE159" s="3"/>
      <c r="EF159" s="3"/>
      <c r="EG159" s="3"/>
    </row>
    <row r="160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126"/>
      <c r="ED160" s="3"/>
      <c r="EE160" s="3"/>
      <c r="EF160" s="3"/>
      <c r="EG160" s="3"/>
    </row>
    <row r="161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126"/>
      <c r="ED161" s="3"/>
      <c r="EE161" s="3"/>
      <c r="EF161" s="3"/>
      <c r="EG161" s="3"/>
    </row>
    <row r="162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126"/>
      <c r="ED162" s="3"/>
      <c r="EE162" s="3"/>
      <c r="EF162" s="3"/>
      <c r="EG162" s="3"/>
    </row>
    <row r="163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126"/>
      <c r="ED163" s="3"/>
      <c r="EE163" s="3"/>
      <c r="EF163" s="3"/>
      <c r="EG163" s="3"/>
    </row>
    <row r="16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126"/>
      <c r="ED164" s="3"/>
      <c r="EE164" s="3"/>
      <c r="EF164" s="3"/>
      <c r="EG164" s="3"/>
    </row>
    <row r="165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126"/>
      <c r="ED165" s="3"/>
      <c r="EE165" s="3"/>
      <c r="EF165" s="3"/>
      <c r="EG165" s="3"/>
    </row>
    <row r="166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126"/>
      <c r="ED166" s="3"/>
      <c r="EE166" s="3"/>
      <c r="EF166" s="3"/>
      <c r="EG166" s="3"/>
    </row>
    <row r="167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126"/>
      <c r="ED167" s="3"/>
      <c r="EE167" s="3"/>
      <c r="EF167" s="3"/>
      <c r="EG167" s="3"/>
    </row>
    <row r="168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126"/>
      <c r="ED168" s="3"/>
      <c r="EE168" s="3"/>
      <c r="EF168" s="3"/>
      <c r="EG168" s="3"/>
    </row>
    <row r="169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126"/>
      <c r="ED169" s="3"/>
      <c r="EE169" s="3"/>
      <c r="EF169" s="3"/>
      <c r="EG169" s="3"/>
    </row>
    <row r="170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126"/>
      <c r="ED170" s="3"/>
      <c r="EE170" s="3"/>
      <c r="EF170" s="3"/>
      <c r="EG170" s="3"/>
    </row>
    <row r="171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126"/>
      <c r="ED171" s="3"/>
      <c r="EE171" s="3"/>
      <c r="EF171" s="3"/>
      <c r="EG171" s="3"/>
    </row>
    <row r="172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126"/>
      <c r="ED172" s="3"/>
      <c r="EE172" s="3"/>
      <c r="EF172" s="3"/>
      <c r="EG172" s="3"/>
    </row>
    <row r="173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126"/>
      <c r="ED173" s="3"/>
      <c r="EE173" s="3"/>
      <c r="EF173" s="3"/>
      <c r="EG173" s="3"/>
    </row>
    <row r="17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126"/>
      <c r="ED174" s="3"/>
      <c r="EE174" s="3"/>
      <c r="EF174" s="3"/>
      <c r="EG174" s="3"/>
    </row>
    <row r="175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126"/>
      <c r="ED175" s="3"/>
      <c r="EE175" s="3"/>
      <c r="EF175" s="3"/>
      <c r="EG175" s="3"/>
    </row>
    <row r="176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126"/>
      <c r="ED176" s="3"/>
      <c r="EE176" s="3"/>
      <c r="EF176" s="3"/>
      <c r="EG176" s="3"/>
    </row>
    <row r="177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126"/>
      <c r="ED177" s="3"/>
      <c r="EE177" s="3"/>
      <c r="EF177" s="3"/>
      <c r="EG177" s="3"/>
    </row>
    <row r="178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126"/>
      <c r="ED178" s="3"/>
      <c r="EE178" s="3"/>
      <c r="EF178" s="3"/>
      <c r="EG178" s="3"/>
    </row>
    <row r="179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126"/>
      <c r="ED179" s="3"/>
      <c r="EE179" s="3"/>
      <c r="EF179" s="3"/>
      <c r="EG179" s="3"/>
    </row>
    <row r="180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126"/>
      <c r="ED180" s="3"/>
      <c r="EE180" s="3"/>
      <c r="EF180" s="3"/>
      <c r="EG180" s="3"/>
    </row>
    <row r="181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126"/>
      <c r="ED181" s="3"/>
      <c r="EE181" s="3"/>
      <c r="EF181" s="3"/>
      <c r="EG181" s="3"/>
    </row>
    <row r="182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126"/>
      <c r="ED182" s="3"/>
      <c r="EE182" s="3"/>
      <c r="EF182" s="3"/>
      <c r="EG182" s="3"/>
    </row>
    <row r="183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126"/>
      <c r="ED183" s="3"/>
      <c r="EE183" s="3"/>
      <c r="EF183" s="3"/>
      <c r="EG183" s="3"/>
    </row>
    <row r="18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126"/>
      <c r="ED184" s="3"/>
      <c r="EE184" s="3"/>
      <c r="EF184" s="3"/>
      <c r="EG184" s="3"/>
    </row>
    <row r="185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126"/>
      <c r="ED185" s="3"/>
      <c r="EE185" s="3"/>
      <c r="EF185" s="3"/>
      <c r="EG185" s="3"/>
    </row>
    <row r="186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126"/>
      <c r="ED186" s="3"/>
      <c r="EE186" s="3"/>
      <c r="EF186" s="3"/>
      <c r="EG186" s="3"/>
    </row>
    <row r="187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126"/>
      <c r="ED187" s="3"/>
      <c r="EE187" s="3"/>
      <c r="EF187" s="3"/>
      <c r="EG187" s="3"/>
    </row>
    <row r="188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126"/>
      <c r="ED188" s="3"/>
      <c r="EE188" s="3"/>
      <c r="EF188" s="3"/>
      <c r="EG188" s="3"/>
    </row>
    <row r="189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126"/>
      <c r="ED189" s="3"/>
      <c r="EE189" s="3"/>
      <c r="EF189" s="3"/>
      <c r="EG189" s="3"/>
    </row>
    <row r="190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126"/>
      <c r="ED190" s="3"/>
      <c r="EE190" s="3"/>
      <c r="EF190" s="3"/>
      <c r="EG190" s="3"/>
    </row>
    <row r="191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126"/>
      <c r="ED191" s="3"/>
      <c r="EE191" s="3"/>
      <c r="EF191" s="3"/>
      <c r="EG191" s="3"/>
    </row>
    <row r="192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126"/>
      <c r="ED192" s="3"/>
      <c r="EE192" s="3"/>
      <c r="EF192" s="3"/>
      <c r="EG192" s="3"/>
    </row>
    <row r="193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126"/>
      <c r="ED193" s="3"/>
      <c r="EE193" s="3"/>
      <c r="EF193" s="3"/>
      <c r="EG193" s="3"/>
    </row>
    <row r="19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126"/>
      <c r="ED194" s="3"/>
      <c r="EE194" s="3"/>
      <c r="EF194" s="3"/>
      <c r="EG194" s="3"/>
    </row>
    <row r="195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126"/>
      <c r="ED195" s="3"/>
      <c r="EE195" s="3"/>
      <c r="EF195" s="3"/>
      <c r="EG195" s="3"/>
    </row>
    <row r="196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126"/>
      <c r="ED196" s="3"/>
      <c r="EE196" s="3"/>
      <c r="EF196" s="3"/>
      <c r="EG196" s="3"/>
    </row>
    <row r="197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126"/>
      <c r="ED197" s="3"/>
      <c r="EE197" s="3"/>
      <c r="EF197" s="3"/>
      <c r="EG197" s="3"/>
    </row>
    <row r="198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126"/>
      <c r="ED198" s="3"/>
      <c r="EE198" s="3"/>
      <c r="EF198" s="3"/>
      <c r="EG198" s="3"/>
    </row>
    <row r="199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126"/>
      <c r="ED199" s="3"/>
      <c r="EE199" s="3"/>
      <c r="EF199" s="3"/>
      <c r="EG199" s="3"/>
    </row>
    <row r="200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126"/>
      <c r="ED200" s="3"/>
      <c r="EE200" s="3"/>
      <c r="EF200" s="3"/>
      <c r="EG200" s="3"/>
    </row>
    <row r="201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126"/>
      <c r="ED201" s="3"/>
      <c r="EE201" s="3"/>
      <c r="EF201" s="3"/>
      <c r="EG201" s="3"/>
    </row>
    <row r="202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126"/>
      <c r="ED202" s="3"/>
      <c r="EE202" s="3"/>
      <c r="EF202" s="3"/>
      <c r="EG202" s="3"/>
    </row>
    <row r="203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126"/>
      <c r="ED203" s="3"/>
      <c r="EE203" s="3"/>
      <c r="EF203" s="3"/>
      <c r="EG203" s="3"/>
    </row>
    <row r="20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126"/>
      <c r="ED204" s="3"/>
      <c r="EE204" s="3"/>
      <c r="EF204" s="3"/>
      <c r="EG204" s="3"/>
    </row>
    <row r="205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126"/>
      <c r="ED205" s="3"/>
      <c r="EE205" s="3"/>
      <c r="EF205" s="3"/>
      <c r="EG205" s="3"/>
    </row>
    <row r="206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126"/>
      <c r="ED206" s="3"/>
      <c r="EE206" s="3"/>
      <c r="EF206" s="3"/>
      <c r="EG206" s="3"/>
    </row>
    <row r="207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126"/>
      <c r="ED207" s="3"/>
      <c r="EE207" s="3"/>
      <c r="EF207" s="3"/>
      <c r="EG207" s="3"/>
    </row>
    <row r="208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126"/>
      <c r="ED208" s="3"/>
      <c r="EE208" s="3"/>
      <c r="EF208" s="3"/>
      <c r="EG208" s="3"/>
    </row>
    <row r="209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126"/>
      <c r="ED209" s="3"/>
      <c r="EE209" s="3"/>
      <c r="EF209" s="3"/>
      <c r="EG209" s="3"/>
    </row>
    <row r="210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126"/>
      <c r="ED210" s="3"/>
      <c r="EE210" s="3"/>
      <c r="EF210" s="3"/>
      <c r="EG210" s="3"/>
    </row>
    <row r="211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126"/>
      <c r="ED211" s="3"/>
      <c r="EE211" s="3"/>
      <c r="EF211" s="3"/>
      <c r="EG211" s="3"/>
    </row>
    <row r="212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126"/>
      <c r="ED212" s="3"/>
      <c r="EE212" s="3"/>
      <c r="EF212" s="3"/>
      <c r="EG212" s="3"/>
    </row>
    <row r="213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126"/>
      <c r="ED213" s="3"/>
      <c r="EE213" s="3"/>
      <c r="EF213" s="3"/>
      <c r="EG213" s="3"/>
    </row>
    <row r="21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126"/>
      <c r="ED214" s="3"/>
      <c r="EE214" s="3"/>
      <c r="EF214" s="3"/>
      <c r="EG214" s="3"/>
    </row>
    <row r="215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126"/>
      <c r="ED215" s="3"/>
      <c r="EE215" s="3"/>
      <c r="EF215" s="3"/>
      <c r="EG215" s="3"/>
    </row>
    <row r="216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126"/>
      <c r="ED216" s="3"/>
      <c r="EE216" s="3"/>
      <c r="EF216" s="3"/>
      <c r="EG216" s="3"/>
    </row>
    <row r="217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126"/>
      <c r="ED217" s="3"/>
      <c r="EE217" s="3"/>
      <c r="EF217" s="3"/>
      <c r="EG217" s="3"/>
    </row>
    <row r="218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126"/>
      <c r="ED218" s="3"/>
      <c r="EE218" s="3"/>
      <c r="EF218" s="3"/>
      <c r="EG218" s="3"/>
    </row>
    <row r="219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126"/>
      <c r="ED219" s="3"/>
      <c r="EE219" s="3"/>
      <c r="EF219" s="3"/>
      <c r="EG219" s="3"/>
    </row>
    <row r="220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126"/>
      <c r="ED220" s="3"/>
      <c r="EE220" s="3"/>
      <c r="EF220" s="3"/>
      <c r="EG220" s="3"/>
    </row>
    <row r="221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126"/>
      <c r="ED221" s="3"/>
      <c r="EE221" s="3"/>
      <c r="EF221" s="3"/>
      <c r="EG221" s="3"/>
    </row>
    <row r="222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126"/>
      <c r="ED222" s="3"/>
      <c r="EE222" s="3"/>
      <c r="EF222" s="3"/>
      <c r="EG222" s="3"/>
    </row>
    <row r="223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126"/>
      <c r="ED223" s="3"/>
      <c r="EE223" s="3"/>
      <c r="EF223" s="3"/>
      <c r="EG223" s="3"/>
    </row>
    <row r="224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126"/>
      <c r="ED224" s="3"/>
      <c r="EE224" s="3"/>
      <c r="EF224" s="3"/>
      <c r="EG224" s="3"/>
    </row>
    <row r="225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126"/>
      <c r="ED225" s="3"/>
      <c r="EE225" s="3"/>
      <c r="EF225" s="3"/>
      <c r="EG225" s="3"/>
    </row>
    <row r="226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126"/>
      <c r="ED226" s="3"/>
      <c r="EE226" s="3"/>
      <c r="EF226" s="3"/>
      <c r="EG226" s="3"/>
    </row>
    <row r="227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126"/>
      <c r="ED227" s="3"/>
      <c r="EE227" s="3"/>
      <c r="EF227" s="3"/>
      <c r="EG227" s="3"/>
    </row>
    <row r="228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126"/>
      <c r="ED228" s="3"/>
      <c r="EE228" s="3"/>
      <c r="EF228" s="3"/>
      <c r="EG228" s="3"/>
    </row>
    <row r="229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126"/>
      <c r="ED229" s="3"/>
      <c r="EE229" s="3"/>
      <c r="EF229" s="3"/>
      <c r="EG229" s="3"/>
    </row>
    <row r="230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126"/>
      <c r="ED230" s="3"/>
      <c r="EE230" s="3"/>
      <c r="EF230" s="3"/>
      <c r="EG230" s="3"/>
    </row>
    <row r="231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126"/>
      <c r="ED231" s="3"/>
      <c r="EE231" s="3"/>
      <c r="EF231" s="3"/>
      <c r="EG231" s="3"/>
    </row>
    <row r="232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126"/>
      <c r="ED232" s="3"/>
      <c r="EE232" s="3"/>
      <c r="EF232" s="3"/>
      <c r="EG232" s="3"/>
    </row>
    <row r="233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126"/>
      <c r="ED233" s="3"/>
      <c r="EE233" s="3"/>
      <c r="EF233" s="3"/>
      <c r="EG233" s="3"/>
    </row>
    <row r="234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126"/>
      <c r="ED234" s="3"/>
      <c r="EE234" s="3"/>
      <c r="EF234" s="3"/>
      <c r="EG234" s="3"/>
    </row>
    <row r="235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126"/>
      <c r="ED235" s="3"/>
      <c r="EE235" s="3"/>
      <c r="EF235" s="3"/>
      <c r="EG235" s="3"/>
    </row>
    <row r="236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126"/>
      <c r="ED236" s="3"/>
      <c r="EE236" s="3"/>
      <c r="EF236" s="3"/>
      <c r="EG236" s="3"/>
    </row>
    <row r="237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126"/>
      <c r="ED237" s="3"/>
      <c r="EE237" s="3"/>
      <c r="EF237" s="3"/>
      <c r="EG237" s="3"/>
    </row>
    <row r="238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126"/>
      <c r="ED238" s="3"/>
      <c r="EE238" s="3"/>
      <c r="EF238" s="3"/>
      <c r="EG238" s="3"/>
    </row>
    <row r="239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126"/>
      <c r="ED239" s="3"/>
      <c r="EE239" s="3"/>
      <c r="EF239" s="3"/>
      <c r="EG239" s="3"/>
    </row>
    <row r="240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126"/>
      <c r="ED240" s="3"/>
      <c r="EE240" s="3"/>
      <c r="EF240" s="3"/>
      <c r="EG240" s="3"/>
    </row>
    <row r="241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126"/>
      <c r="ED241" s="3"/>
      <c r="EE241" s="3"/>
      <c r="EF241" s="3"/>
      <c r="EG241" s="3"/>
    </row>
    <row r="242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126"/>
      <c r="ED242" s="3"/>
      <c r="EE242" s="3"/>
      <c r="EF242" s="3"/>
      <c r="EG242" s="3"/>
    </row>
    <row r="243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126"/>
      <c r="ED243" s="3"/>
      <c r="EE243" s="3"/>
      <c r="EF243" s="3"/>
      <c r="EG243" s="3"/>
    </row>
    <row r="244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126"/>
      <c r="ED244" s="3"/>
      <c r="EE244" s="3"/>
      <c r="EF244" s="3"/>
      <c r="EG244" s="3"/>
    </row>
  </sheetData>
  <autoFilter ref="$A$7:$A$37"/>
  <mergeCells count="1918">
    <mergeCell ref="AZ2:BC2"/>
    <mergeCell ref="BD2:BG2"/>
    <mergeCell ref="T2:W2"/>
    <mergeCell ref="X2:AA2"/>
    <mergeCell ref="AF2:AI2"/>
    <mergeCell ref="AJ2:AM2"/>
    <mergeCell ref="AN2:AQ2"/>
    <mergeCell ref="AR2:AU2"/>
    <mergeCell ref="AV2:AY2"/>
    <mergeCell ref="CJ2:CM2"/>
    <mergeCell ref="CN2:CQ2"/>
    <mergeCell ref="BH2:BK2"/>
    <mergeCell ref="BL2:BO2"/>
    <mergeCell ref="BP2:BS2"/>
    <mergeCell ref="BT2:BW2"/>
    <mergeCell ref="BX2:CA2"/>
    <mergeCell ref="CB2:CE2"/>
    <mergeCell ref="CF2:CI2"/>
    <mergeCell ref="DT2:DW2"/>
    <mergeCell ref="DX2:EA2"/>
    <mergeCell ref="EB2:EG2"/>
    <mergeCell ref="CR2:CU2"/>
    <mergeCell ref="CV2:CY2"/>
    <mergeCell ref="CZ2:DC2"/>
    <mergeCell ref="DD2:DG2"/>
    <mergeCell ref="DH2:DK2"/>
    <mergeCell ref="DL2:DO2"/>
    <mergeCell ref="DP2:DS2"/>
    <mergeCell ref="DL3:DO3"/>
    <mergeCell ref="DP3:DS3"/>
    <mergeCell ref="CJ3:CM3"/>
    <mergeCell ref="CN3:CQ3"/>
    <mergeCell ref="CR3:CU3"/>
    <mergeCell ref="CV3:CY3"/>
    <mergeCell ref="CZ3:DC3"/>
    <mergeCell ref="DD3:DG3"/>
    <mergeCell ref="DH3:DK3"/>
    <mergeCell ref="AF1:AI1"/>
    <mergeCell ref="AJ1:AM1"/>
    <mergeCell ref="AN1:AQ1"/>
    <mergeCell ref="AR1:AU1"/>
    <mergeCell ref="AV1:AY1"/>
    <mergeCell ref="AZ1:BC1"/>
    <mergeCell ref="BD1:BG1"/>
    <mergeCell ref="DL1:DO1"/>
    <mergeCell ref="DP1:DS1"/>
    <mergeCell ref="DT1:DW1"/>
    <mergeCell ref="DX1:EA1"/>
    <mergeCell ref="DT3:DW3"/>
    <mergeCell ref="DX3:EA3"/>
    <mergeCell ref="H1:K1"/>
    <mergeCell ref="H2:K2"/>
    <mergeCell ref="L2:O2"/>
    <mergeCell ref="P2:S2"/>
    <mergeCell ref="BH1:BK1"/>
    <mergeCell ref="BL1:BO1"/>
    <mergeCell ref="BP1:BS1"/>
    <mergeCell ref="BT1:BW1"/>
    <mergeCell ref="BX1:CA1"/>
    <mergeCell ref="CB1:CE1"/>
    <mergeCell ref="CF1:CI1"/>
    <mergeCell ref="CJ1:CM1"/>
    <mergeCell ref="CN1:CQ1"/>
    <mergeCell ref="CR1:CU1"/>
    <mergeCell ref="CV1:CY1"/>
    <mergeCell ref="CZ1:DC1"/>
    <mergeCell ref="DD1:DG1"/>
    <mergeCell ref="DH1:DK1"/>
    <mergeCell ref="P3:S3"/>
    <mergeCell ref="T3:W3"/>
    <mergeCell ref="AF3:AI3"/>
    <mergeCell ref="AJ3:AM3"/>
    <mergeCell ref="AN3:AQ3"/>
    <mergeCell ref="AR3:AU3"/>
    <mergeCell ref="AV3:AY3"/>
    <mergeCell ref="DD4:DG4"/>
    <mergeCell ref="DH4:DK4"/>
    <mergeCell ref="DL4:DO4"/>
    <mergeCell ref="DP4:DS4"/>
    <mergeCell ref="DT4:DW4"/>
    <mergeCell ref="DX4:EA4"/>
    <mergeCell ref="CB4:CE4"/>
    <mergeCell ref="CF4:CI4"/>
    <mergeCell ref="CJ4:CM4"/>
    <mergeCell ref="CN4:CQ4"/>
    <mergeCell ref="CR4:CU4"/>
    <mergeCell ref="CV4:CY4"/>
    <mergeCell ref="CZ4:DC4"/>
    <mergeCell ref="DL5:DO5"/>
    <mergeCell ref="DP5:DS5"/>
    <mergeCell ref="DT5:DW5"/>
    <mergeCell ref="DX5:EA5"/>
    <mergeCell ref="CJ5:CM5"/>
    <mergeCell ref="CN5:CQ5"/>
    <mergeCell ref="CR5:CU5"/>
    <mergeCell ref="CV5:CY5"/>
    <mergeCell ref="CZ5:DC5"/>
    <mergeCell ref="DD5:DG5"/>
    <mergeCell ref="DH5:DK5"/>
    <mergeCell ref="L1:O1"/>
    <mergeCell ref="H3:K3"/>
    <mergeCell ref="L3:O3"/>
    <mergeCell ref="A1:B1"/>
    <mergeCell ref="P1:S1"/>
    <mergeCell ref="T1:W1"/>
    <mergeCell ref="X1:AA1"/>
    <mergeCell ref="AB1:AE1"/>
    <mergeCell ref="C2:C5"/>
    <mergeCell ref="AB2:AE2"/>
    <mergeCell ref="DT32:DW32"/>
    <mergeCell ref="DX32:EA32"/>
    <mergeCell ref="CR32:CU32"/>
    <mergeCell ref="CV32:CY32"/>
    <mergeCell ref="CZ32:DC32"/>
    <mergeCell ref="DD32:DG32"/>
    <mergeCell ref="DH32:DK32"/>
    <mergeCell ref="DL32:DO32"/>
    <mergeCell ref="DP32:DS32"/>
    <mergeCell ref="AF31:AI31"/>
    <mergeCell ref="AJ31:AM31"/>
    <mergeCell ref="AN31:AQ31"/>
    <mergeCell ref="AR31:AU31"/>
    <mergeCell ref="AV31:AY31"/>
    <mergeCell ref="AZ31:BC31"/>
    <mergeCell ref="BD31:BG31"/>
    <mergeCell ref="BH31:BK31"/>
    <mergeCell ref="BL31:BO31"/>
    <mergeCell ref="BP31:BS31"/>
    <mergeCell ref="BT31:BW31"/>
    <mergeCell ref="BX31:CA31"/>
    <mergeCell ref="CB31:CE31"/>
    <mergeCell ref="CF31:CI31"/>
    <mergeCell ref="DL31:DO31"/>
    <mergeCell ref="DP31:DS31"/>
    <mergeCell ref="DT31:DW31"/>
    <mergeCell ref="DX31:EA31"/>
    <mergeCell ref="F31:G31"/>
    <mergeCell ref="H31:K31"/>
    <mergeCell ref="L31:O31"/>
    <mergeCell ref="P31:S31"/>
    <mergeCell ref="T31:W31"/>
    <mergeCell ref="X31:AA31"/>
    <mergeCell ref="AB31:AE31"/>
    <mergeCell ref="AF32:AI32"/>
    <mergeCell ref="AJ32:AM32"/>
    <mergeCell ref="AN32:AQ32"/>
    <mergeCell ref="AR32:AU32"/>
    <mergeCell ref="AV32:AY32"/>
    <mergeCell ref="AZ32:BC32"/>
    <mergeCell ref="BD32:BG32"/>
    <mergeCell ref="CJ31:CM31"/>
    <mergeCell ref="CN31:CQ31"/>
    <mergeCell ref="CR31:CU31"/>
    <mergeCell ref="CV31:CY31"/>
    <mergeCell ref="CZ31:DC31"/>
    <mergeCell ref="DD31:DG31"/>
    <mergeCell ref="DH31:DK31"/>
    <mergeCell ref="F32:G32"/>
    <mergeCell ref="H32:K32"/>
    <mergeCell ref="L32:O32"/>
    <mergeCell ref="P32:S32"/>
    <mergeCell ref="T32:W32"/>
    <mergeCell ref="X32:AA32"/>
    <mergeCell ref="AB32:AE32"/>
    <mergeCell ref="CB3:CE3"/>
    <mergeCell ref="CF3:CI3"/>
    <mergeCell ref="AZ3:BC3"/>
    <mergeCell ref="BD3:BG3"/>
    <mergeCell ref="BH3:BK3"/>
    <mergeCell ref="BL3:BO3"/>
    <mergeCell ref="BP3:BS3"/>
    <mergeCell ref="BT3:BW3"/>
    <mergeCell ref="BX3:CA3"/>
    <mergeCell ref="BT5:BW5"/>
    <mergeCell ref="BX5:CA5"/>
    <mergeCell ref="CB5:CE5"/>
    <mergeCell ref="CF5:CI5"/>
    <mergeCell ref="AR5:AU5"/>
    <mergeCell ref="AV5:AY5"/>
    <mergeCell ref="AZ5:BC5"/>
    <mergeCell ref="BD5:BG5"/>
    <mergeCell ref="BH5:BK5"/>
    <mergeCell ref="BL5:BO5"/>
    <mergeCell ref="BP5:BS5"/>
    <mergeCell ref="BH6:BK6"/>
    <mergeCell ref="BL6:BO6"/>
    <mergeCell ref="BP6:BS6"/>
    <mergeCell ref="BT6:BW6"/>
    <mergeCell ref="BX6:CA6"/>
    <mergeCell ref="CB6:CE6"/>
    <mergeCell ref="CF6:CI6"/>
    <mergeCell ref="DL6:DO6"/>
    <mergeCell ref="DP6:DS6"/>
    <mergeCell ref="DT6:DW6"/>
    <mergeCell ref="DX6:EA6"/>
    <mergeCell ref="CJ6:CM6"/>
    <mergeCell ref="CN6:CQ6"/>
    <mergeCell ref="CR6:CU6"/>
    <mergeCell ref="CV6:CY6"/>
    <mergeCell ref="CZ6:DC6"/>
    <mergeCell ref="DD6:DG6"/>
    <mergeCell ref="DH6:DK6"/>
    <mergeCell ref="X3:AA3"/>
    <mergeCell ref="AB3:AE3"/>
    <mergeCell ref="H4:K4"/>
    <mergeCell ref="L4:O4"/>
    <mergeCell ref="P4:S4"/>
    <mergeCell ref="T4:W4"/>
    <mergeCell ref="X4:AA4"/>
    <mergeCell ref="AB4:AE4"/>
    <mergeCell ref="AF4:AI4"/>
    <mergeCell ref="AJ4:AM4"/>
    <mergeCell ref="AN4:AQ4"/>
    <mergeCell ref="AR4:AU4"/>
    <mergeCell ref="AV4:AY4"/>
    <mergeCell ref="P5:S5"/>
    <mergeCell ref="T5:W5"/>
    <mergeCell ref="X5:AA5"/>
    <mergeCell ref="AB5:AE5"/>
    <mergeCell ref="AF5:AI5"/>
    <mergeCell ref="AJ5:AM5"/>
    <mergeCell ref="AN5:AQ5"/>
    <mergeCell ref="H5:K5"/>
    <mergeCell ref="L5:O5"/>
    <mergeCell ref="C6:F6"/>
    <mergeCell ref="H6:K6"/>
    <mergeCell ref="L6:O6"/>
    <mergeCell ref="P6:S6"/>
    <mergeCell ref="T6:W6"/>
    <mergeCell ref="AZ4:BC4"/>
    <mergeCell ref="BD4:BG4"/>
    <mergeCell ref="BH4:BK4"/>
    <mergeCell ref="BL4:BO4"/>
    <mergeCell ref="BP4:BS4"/>
    <mergeCell ref="BT4:BW4"/>
    <mergeCell ref="BX4:CA4"/>
    <mergeCell ref="AZ6:BC6"/>
    <mergeCell ref="BD6:BG6"/>
    <mergeCell ref="X6:AA6"/>
    <mergeCell ref="AB6:AE6"/>
    <mergeCell ref="AF6:AI6"/>
    <mergeCell ref="AJ6:AM6"/>
    <mergeCell ref="AN6:AQ6"/>
    <mergeCell ref="AR6:AU6"/>
    <mergeCell ref="AV6:AY6"/>
    <mergeCell ref="AB30:AE30"/>
    <mergeCell ref="AF30:AI30"/>
    <mergeCell ref="AJ30:AM30"/>
    <mergeCell ref="AN30:AQ30"/>
    <mergeCell ref="AR30:AU30"/>
    <mergeCell ref="AV30:AY30"/>
    <mergeCell ref="AZ30:BC30"/>
    <mergeCell ref="BD30:BG30"/>
    <mergeCell ref="BH30:BK30"/>
    <mergeCell ref="BL30:BO30"/>
    <mergeCell ref="BP30:BS30"/>
    <mergeCell ref="BT30:BW30"/>
    <mergeCell ref="BX30:CA30"/>
    <mergeCell ref="CB30:CE30"/>
    <mergeCell ref="DH30:DK30"/>
    <mergeCell ref="DL30:DO30"/>
    <mergeCell ref="DP30:DS30"/>
    <mergeCell ref="DT30:DW30"/>
    <mergeCell ref="DX30:EA30"/>
    <mergeCell ref="CF30:CI30"/>
    <mergeCell ref="CJ30:CM30"/>
    <mergeCell ref="CN30:CQ30"/>
    <mergeCell ref="CR30:CU30"/>
    <mergeCell ref="CV30:CY30"/>
    <mergeCell ref="CZ30:DC30"/>
    <mergeCell ref="DD30:DG30"/>
    <mergeCell ref="F29:G29"/>
    <mergeCell ref="F30:G30"/>
    <mergeCell ref="H30:K30"/>
    <mergeCell ref="L30:O30"/>
    <mergeCell ref="P30:S30"/>
    <mergeCell ref="T30:W30"/>
    <mergeCell ref="X30:AA30"/>
    <mergeCell ref="CJ32:CM32"/>
    <mergeCell ref="CN32:CQ32"/>
    <mergeCell ref="BH32:BK32"/>
    <mergeCell ref="BL32:BO32"/>
    <mergeCell ref="BP32:BS32"/>
    <mergeCell ref="BT32:BW32"/>
    <mergeCell ref="BX32:CA32"/>
    <mergeCell ref="CB32:CE32"/>
    <mergeCell ref="CF32:CI32"/>
    <mergeCell ref="CJ34:CM34"/>
    <mergeCell ref="CN34:CQ34"/>
    <mergeCell ref="BH34:BK34"/>
    <mergeCell ref="BL34:BO34"/>
    <mergeCell ref="BP34:BS34"/>
    <mergeCell ref="BT34:BW34"/>
    <mergeCell ref="BX34:CA34"/>
    <mergeCell ref="CB34:CE34"/>
    <mergeCell ref="CF34:CI34"/>
    <mergeCell ref="AJ39:AL39"/>
    <mergeCell ref="AN39:AP39"/>
    <mergeCell ref="AR39:AT39"/>
    <mergeCell ref="AV39:AX39"/>
    <mergeCell ref="AZ39:BB39"/>
    <mergeCell ref="BD39:BF39"/>
    <mergeCell ref="BH39:BJ39"/>
    <mergeCell ref="H39:J39"/>
    <mergeCell ref="L39:N39"/>
    <mergeCell ref="P39:R39"/>
    <mergeCell ref="T39:V39"/>
    <mergeCell ref="X39:Z39"/>
    <mergeCell ref="AB39:AD39"/>
    <mergeCell ref="AF39:AH39"/>
    <mergeCell ref="CR40:CT40"/>
    <mergeCell ref="CV40:CX40"/>
    <mergeCell ref="BP40:BR40"/>
    <mergeCell ref="BT40:BV40"/>
    <mergeCell ref="BX40:BZ40"/>
    <mergeCell ref="CB40:CD40"/>
    <mergeCell ref="CF40:CH40"/>
    <mergeCell ref="CJ40:CL40"/>
    <mergeCell ref="CN40:CP40"/>
    <mergeCell ref="AF37:AI37"/>
    <mergeCell ref="AJ37:AM37"/>
    <mergeCell ref="AN37:AQ37"/>
    <mergeCell ref="AR37:AU37"/>
    <mergeCell ref="AV37:AY37"/>
    <mergeCell ref="AZ37:BC37"/>
    <mergeCell ref="BD37:BG37"/>
    <mergeCell ref="BH37:BK37"/>
    <mergeCell ref="BL37:BO37"/>
    <mergeCell ref="BP37:BS37"/>
    <mergeCell ref="BT37:BW37"/>
    <mergeCell ref="BX37:CA37"/>
    <mergeCell ref="CB37:CE37"/>
    <mergeCell ref="CF37:CI37"/>
    <mergeCell ref="DL37:DO37"/>
    <mergeCell ref="DP37:DS37"/>
    <mergeCell ref="DT37:DW37"/>
    <mergeCell ref="DX37:EA37"/>
    <mergeCell ref="CJ37:CM37"/>
    <mergeCell ref="CN37:CQ37"/>
    <mergeCell ref="CR37:CU37"/>
    <mergeCell ref="CV37:CY37"/>
    <mergeCell ref="CZ37:DC37"/>
    <mergeCell ref="DD37:DG37"/>
    <mergeCell ref="DH37:DK37"/>
    <mergeCell ref="F37:G37"/>
    <mergeCell ref="H37:K37"/>
    <mergeCell ref="L37:O37"/>
    <mergeCell ref="P37:S37"/>
    <mergeCell ref="T37:W37"/>
    <mergeCell ref="X37:AA37"/>
    <mergeCell ref="AB37:AE37"/>
    <mergeCell ref="F40:G40"/>
    <mergeCell ref="H40:J40"/>
    <mergeCell ref="L40:N40"/>
    <mergeCell ref="P40:R40"/>
    <mergeCell ref="T40:V40"/>
    <mergeCell ref="X40:Z40"/>
    <mergeCell ref="AB40:AD40"/>
    <mergeCell ref="CZ39:DB39"/>
    <mergeCell ref="CZ40:DB40"/>
    <mergeCell ref="DD40:DF40"/>
    <mergeCell ref="DH40:DJ40"/>
    <mergeCell ref="DL40:DN40"/>
    <mergeCell ref="DP40:DR40"/>
    <mergeCell ref="DT40:DV40"/>
    <mergeCell ref="DX40:DZ40"/>
    <mergeCell ref="CV39:CX39"/>
    <mergeCell ref="DD39:DF39"/>
    <mergeCell ref="DH39:DJ39"/>
    <mergeCell ref="DL39:DN39"/>
    <mergeCell ref="DP39:DR39"/>
    <mergeCell ref="DT39:DV39"/>
    <mergeCell ref="DX39:DZ39"/>
    <mergeCell ref="BH41:BJ41"/>
    <mergeCell ref="BL41:BN41"/>
    <mergeCell ref="BP41:BR41"/>
    <mergeCell ref="BT41:BV41"/>
    <mergeCell ref="BX41:BZ41"/>
    <mergeCell ref="CB41:CD41"/>
    <mergeCell ref="CF41:CH41"/>
    <mergeCell ref="BH42:BJ42"/>
    <mergeCell ref="BL42:BN42"/>
    <mergeCell ref="BP42:BR42"/>
    <mergeCell ref="BT42:BV42"/>
    <mergeCell ref="BX42:BZ42"/>
    <mergeCell ref="CB42:CD42"/>
    <mergeCell ref="CF42:CH42"/>
    <mergeCell ref="BH40:BJ40"/>
    <mergeCell ref="BL40:BN40"/>
    <mergeCell ref="AF40:AH40"/>
    <mergeCell ref="AJ40:AL40"/>
    <mergeCell ref="AN40:AP40"/>
    <mergeCell ref="AR40:AT40"/>
    <mergeCell ref="AV40:AX40"/>
    <mergeCell ref="AZ40:BB40"/>
    <mergeCell ref="BD40:BF40"/>
    <mergeCell ref="AF41:AH41"/>
    <mergeCell ref="AJ41:AL41"/>
    <mergeCell ref="AN41:AP41"/>
    <mergeCell ref="AR41:AT41"/>
    <mergeCell ref="AV41:AX41"/>
    <mergeCell ref="AZ41:BB41"/>
    <mergeCell ref="BD41:BF41"/>
    <mergeCell ref="DL41:DN41"/>
    <mergeCell ref="DP41:DR41"/>
    <mergeCell ref="DT41:DV41"/>
    <mergeCell ref="DX41:DZ41"/>
    <mergeCell ref="CJ41:CL41"/>
    <mergeCell ref="CN41:CP41"/>
    <mergeCell ref="CR41:CT41"/>
    <mergeCell ref="CV41:CX41"/>
    <mergeCell ref="CZ41:DB41"/>
    <mergeCell ref="DD41:DF41"/>
    <mergeCell ref="DH41:DJ41"/>
    <mergeCell ref="AF42:AH42"/>
    <mergeCell ref="AJ42:AL42"/>
    <mergeCell ref="AN42:AP42"/>
    <mergeCell ref="AR42:AT42"/>
    <mergeCell ref="AV42:AX42"/>
    <mergeCell ref="AZ42:BB42"/>
    <mergeCell ref="BD42:BF42"/>
    <mergeCell ref="DL42:DN42"/>
    <mergeCell ref="DP42:DR42"/>
    <mergeCell ref="DT42:DV42"/>
    <mergeCell ref="DX42:DZ42"/>
    <mergeCell ref="CJ42:CL42"/>
    <mergeCell ref="CN42:CP42"/>
    <mergeCell ref="CR42:CT42"/>
    <mergeCell ref="CV42:CX42"/>
    <mergeCell ref="CZ42:DB42"/>
    <mergeCell ref="DD42:DF42"/>
    <mergeCell ref="DH42:DJ42"/>
    <mergeCell ref="DT34:DW34"/>
    <mergeCell ref="DX34:EA34"/>
    <mergeCell ref="CR34:CU34"/>
    <mergeCell ref="CV34:CY34"/>
    <mergeCell ref="CZ34:DC34"/>
    <mergeCell ref="DD34:DG34"/>
    <mergeCell ref="DH34:DK34"/>
    <mergeCell ref="DL34:DO34"/>
    <mergeCell ref="DP34:DS34"/>
    <mergeCell ref="AF33:AI33"/>
    <mergeCell ref="AJ33:AM33"/>
    <mergeCell ref="AN33:AQ33"/>
    <mergeCell ref="AR33:AU33"/>
    <mergeCell ref="AV33:AY33"/>
    <mergeCell ref="AZ33:BC33"/>
    <mergeCell ref="BD33:BG33"/>
    <mergeCell ref="BH33:BK33"/>
    <mergeCell ref="BL33:BO33"/>
    <mergeCell ref="BP33:BS33"/>
    <mergeCell ref="BT33:BW33"/>
    <mergeCell ref="BX33:CA33"/>
    <mergeCell ref="CB33:CE33"/>
    <mergeCell ref="CF33:CI33"/>
    <mergeCell ref="DL33:DO33"/>
    <mergeCell ref="DP33:DS33"/>
    <mergeCell ref="DT33:DW33"/>
    <mergeCell ref="DX33:EA33"/>
    <mergeCell ref="F33:G33"/>
    <mergeCell ref="H33:K33"/>
    <mergeCell ref="L33:O33"/>
    <mergeCell ref="P33:S33"/>
    <mergeCell ref="T33:W33"/>
    <mergeCell ref="X33:AA33"/>
    <mergeCell ref="AB33:AE33"/>
    <mergeCell ref="AF34:AI34"/>
    <mergeCell ref="AJ34:AM34"/>
    <mergeCell ref="AN34:AQ34"/>
    <mergeCell ref="AR34:AU34"/>
    <mergeCell ref="AV34:AY34"/>
    <mergeCell ref="AZ34:BC34"/>
    <mergeCell ref="BD34:BG34"/>
    <mergeCell ref="CJ33:CM33"/>
    <mergeCell ref="CN33:CQ33"/>
    <mergeCell ref="CR33:CU33"/>
    <mergeCell ref="CV33:CY33"/>
    <mergeCell ref="CZ33:DC33"/>
    <mergeCell ref="DD33:DG33"/>
    <mergeCell ref="DH33:DK33"/>
    <mergeCell ref="F34:G34"/>
    <mergeCell ref="H34:K34"/>
    <mergeCell ref="L34:O34"/>
    <mergeCell ref="P34:S34"/>
    <mergeCell ref="T34:W34"/>
    <mergeCell ref="X34:AA34"/>
    <mergeCell ref="AB34:AE34"/>
    <mergeCell ref="CJ36:CM36"/>
    <mergeCell ref="CN36:CQ36"/>
    <mergeCell ref="BH36:BK36"/>
    <mergeCell ref="BL36:BO36"/>
    <mergeCell ref="BP36:BS36"/>
    <mergeCell ref="BT36:BW36"/>
    <mergeCell ref="BX36:CA36"/>
    <mergeCell ref="CB36:CE36"/>
    <mergeCell ref="CF36:CI36"/>
    <mergeCell ref="DT36:DW36"/>
    <mergeCell ref="DX36:EA36"/>
    <mergeCell ref="CR36:CU36"/>
    <mergeCell ref="CV36:CY36"/>
    <mergeCell ref="CZ36:DC36"/>
    <mergeCell ref="DD36:DG36"/>
    <mergeCell ref="DH36:DK36"/>
    <mergeCell ref="DL36:DO36"/>
    <mergeCell ref="DP36:DS36"/>
    <mergeCell ref="AF35:AI35"/>
    <mergeCell ref="AJ35:AM35"/>
    <mergeCell ref="AN35:AQ35"/>
    <mergeCell ref="AR35:AU35"/>
    <mergeCell ref="AV35:AY35"/>
    <mergeCell ref="AZ35:BC35"/>
    <mergeCell ref="BD35:BG35"/>
    <mergeCell ref="BH35:BK35"/>
    <mergeCell ref="BL35:BO35"/>
    <mergeCell ref="BP35:BS35"/>
    <mergeCell ref="BT35:BW35"/>
    <mergeCell ref="BX35:CA35"/>
    <mergeCell ref="CB35:CE35"/>
    <mergeCell ref="CF35:CI35"/>
    <mergeCell ref="DL35:DO35"/>
    <mergeCell ref="DP35:DS35"/>
    <mergeCell ref="DT35:DW35"/>
    <mergeCell ref="DX35:EA35"/>
    <mergeCell ref="F35:G35"/>
    <mergeCell ref="H35:K35"/>
    <mergeCell ref="L35:O35"/>
    <mergeCell ref="P35:S35"/>
    <mergeCell ref="T35:W35"/>
    <mergeCell ref="X35:AA35"/>
    <mergeCell ref="AB35:AE35"/>
    <mergeCell ref="AF36:AI36"/>
    <mergeCell ref="AJ36:AM36"/>
    <mergeCell ref="AN36:AQ36"/>
    <mergeCell ref="AR36:AU36"/>
    <mergeCell ref="AV36:AY36"/>
    <mergeCell ref="AZ36:BC36"/>
    <mergeCell ref="BD36:BG36"/>
    <mergeCell ref="CJ35:CM35"/>
    <mergeCell ref="CN35:CQ35"/>
    <mergeCell ref="CR35:CU35"/>
    <mergeCell ref="CV35:CY35"/>
    <mergeCell ref="CZ35:DC35"/>
    <mergeCell ref="DD35:DG35"/>
    <mergeCell ref="DH35:DK35"/>
    <mergeCell ref="F36:G36"/>
    <mergeCell ref="H36:K36"/>
    <mergeCell ref="L36:O36"/>
    <mergeCell ref="P36:S36"/>
    <mergeCell ref="T36:W36"/>
    <mergeCell ref="X36:AA36"/>
    <mergeCell ref="AB36:AE36"/>
    <mergeCell ref="CN39:CP39"/>
    <mergeCell ref="CR39:CT39"/>
    <mergeCell ref="BL39:BN39"/>
    <mergeCell ref="BP39:BR39"/>
    <mergeCell ref="BT39:BV39"/>
    <mergeCell ref="BX39:BZ39"/>
    <mergeCell ref="CB39:CD39"/>
    <mergeCell ref="CF39:CH39"/>
    <mergeCell ref="CJ39:CL39"/>
    <mergeCell ref="F43:G43"/>
    <mergeCell ref="H43:J43"/>
    <mergeCell ref="L43:N43"/>
    <mergeCell ref="P43:R43"/>
    <mergeCell ref="T43:V43"/>
    <mergeCell ref="X43:Z43"/>
    <mergeCell ref="AB43:AD43"/>
    <mergeCell ref="F44:G44"/>
    <mergeCell ref="H44:J44"/>
    <mergeCell ref="L44:N44"/>
    <mergeCell ref="P44:R44"/>
    <mergeCell ref="T44:V44"/>
    <mergeCell ref="X44:Z44"/>
    <mergeCell ref="AB44:AD44"/>
    <mergeCell ref="BH50:BJ50"/>
    <mergeCell ref="BL50:BN50"/>
    <mergeCell ref="BP50:BR50"/>
    <mergeCell ref="BT50:BV50"/>
    <mergeCell ref="BX50:BZ50"/>
    <mergeCell ref="CB50:CD50"/>
    <mergeCell ref="CF50:CH50"/>
    <mergeCell ref="BH51:BJ51"/>
    <mergeCell ref="BL51:BN51"/>
    <mergeCell ref="BP51:BR51"/>
    <mergeCell ref="BT51:BV51"/>
    <mergeCell ref="BX51:BZ51"/>
    <mergeCell ref="CB51:CD51"/>
    <mergeCell ref="CF51:CH51"/>
    <mergeCell ref="F48:G48"/>
    <mergeCell ref="H48:J48"/>
    <mergeCell ref="L48:N48"/>
    <mergeCell ref="P48:R48"/>
    <mergeCell ref="T48:V48"/>
    <mergeCell ref="X48:Z48"/>
    <mergeCell ref="AB48:AD48"/>
    <mergeCell ref="F49:G49"/>
    <mergeCell ref="H49:J49"/>
    <mergeCell ref="L49:N49"/>
    <mergeCell ref="P49:R49"/>
    <mergeCell ref="T49:V49"/>
    <mergeCell ref="X49:Z49"/>
    <mergeCell ref="AB49:AD49"/>
    <mergeCell ref="AF50:AH50"/>
    <mergeCell ref="AJ50:AL50"/>
    <mergeCell ref="AN50:AP50"/>
    <mergeCell ref="AR50:AT50"/>
    <mergeCell ref="AV50:AX50"/>
    <mergeCell ref="AZ50:BB50"/>
    <mergeCell ref="BD50:BF50"/>
    <mergeCell ref="DL50:DN50"/>
    <mergeCell ref="DP50:DR50"/>
    <mergeCell ref="DT50:DV50"/>
    <mergeCell ref="DX50:DZ50"/>
    <mergeCell ref="CJ50:CL50"/>
    <mergeCell ref="CN50:CP50"/>
    <mergeCell ref="CR50:CT50"/>
    <mergeCell ref="CV50:CX50"/>
    <mergeCell ref="CZ50:DB50"/>
    <mergeCell ref="DD50:DF50"/>
    <mergeCell ref="DH50:DJ50"/>
    <mergeCell ref="AF51:AH51"/>
    <mergeCell ref="AJ51:AL51"/>
    <mergeCell ref="AN51:AP51"/>
    <mergeCell ref="AR51:AT51"/>
    <mergeCell ref="AV51:AX51"/>
    <mergeCell ref="AZ51:BB51"/>
    <mergeCell ref="BD51:BF51"/>
    <mergeCell ref="CJ51:CL51"/>
    <mergeCell ref="CN51:CP51"/>
    <mergeCell ref="F59:G59"/>
    <mergeCell ref="H59:J59"/>
    <mergeCell ref="L59:N59"/>
    <mergeCell ref="P59:R59"/>
    <mergeCell ref="T59:V59"/>
    <mergeCell ref="X59:Z59"/>
    <mergeCell ref="AB59:AD59"/>
    <mergeCell ref="F60:G60"/>
    <mergeCell ref="H60:J60"/>
    <mergeCell ref="L60:N60"/>
    <mergeCell ref="P60:R60"/>
    <mergeCell ref="T60:V60"/>
    <mergeCell ref="X60:Z60"/>
    <mergeCell ref="AB60:AD60"/>
    <mergeCell ref="AF61:AH61"/>
    <mergeCell ref="AJ61:AL61"/>
    <mergeCell ref="AN61:AP61"/>
    <mergeCell ref="AR61:AT61"/>
    <mergeCell ref="AV61:AX61"/>
    <mergeCell ref="AZ61:BB61"/>
    <mergeCell ref="BD61:BF61"/>
    <mergeCell ref="DL61:DN61"/>
    <mergeCell ref="DP61:DR61"/>
    <mergeCell ref="DT61:DV61"/>
    <mergeCell ref="DX61:DZ61"/>
    <mergeCell ref="CJ61:CL61"/>
    <mergeCell ref="CN61:CP61"/>
    <mergeCell ref="CR61:CT61"/>
    <mergeCell ref="CV61:CX61"/>
    <mergeCell ref="CZ61:DB61"/>
    <mergeCell ref="DD61:DF61"/>
    <mergeCell ref="DH61:DJ61"/>
    <mergeCell ref="AF62:AH62"/>
    <mergeCell ref="AJ62:AL62"/>
    <mergeCell ref="AN62:AP62"/>
    <mergeCell ref="AR62:AT62"/>
    <mergeCell ref="AV62:AX62"/>
    <mergeCell ref="AZ62:BB62"/>
    <mergeCell ref="BD62:BF62"/>
    <mergeCell ref="DL62:DN62"/>
    <mergeCell ref="DP62:DR62"/>
    <mergeCell ref="DT62:DV62"/>
    <mergeCell ref="DX62:DZ62"/>
    <mergeCell ref="CJ62:CL62"/>
    <mergeCell ref="CN62:CP62"/>
    <mergeCell ref="CR62:CT62"/>
    <mergeCell ref="CV62:CX62"/>
    <mergeCell ref="CZ62:DB62"/>
    <mergeCell ref="DD62:DF62"/>
    <mergeCell ref="DH62:DJ62"/>
    <mergeCell ref="BH63:BJ63"/>
    <mergeCell ref="BL63:BN63"/>
    <mergeCell ref="BP63:BR63"/>
    <mergeCell ref="BT63:BV63"/>
    <mergeCell ref="BX63:BZ63"/>
    <mergeCell ref="CB63:CD63"/>
    <mergeCell ref="CF63:CH63"/>
    <mergeCell ref="BH64:BJ64"/>
    <mergeCell ref="BL64:BN64"/>
    <mergeCell ref="BP64:BR64"/>
    <mergeCell ref="BT64:BV64"/>
    <mergeCell ref="BX64:BZ64"/>
    <mergeCell ref="CB64:CD64"/>
    <mergeCell ref="CF64:CH64"/>
    <mergeCell ref="F61:G61"/>
    <mergeCell ref="H61:J61"/>
    <mergeCell ref="L61:N61"/>
    <mergeCell ref="P61:R61"/>
    <mergeCell ref="T61:V61"/>
    <mergeCell ref="X61:Z61"/>
    <mergeCell ref="AB61:AD61"/>
    <mergeCell ref="F62:G62"/>
    <mergeCell ref="H62:J62"/>
    <mergeCell ref="L62:N62"/>
    <mergeCell ref="P62:R62"/>
    <mergeCell ref="T62:V62"/>
    <mergeCell ref="X62:Z62"/>
    <mergeCell ref="AB62:AD62"/>
    <mergeCell ref="AF63:AH63"/>
    <mergeCell ref="AJ63:AL63"/>
    <mergeCell ref="AN63:AP63"/>
    <mergeCell ref="AR63:AT63"/>
    <mergeCell ref="AV63:AX63"/>
    <mergeCell ref="AZ63:BB63"/>
    <mergeCell ref="BD63:BF63"/>
    <mergeCell ref="DL63:DN63"/>
    <mergeCell ref="DP63:DR63"/>
    <mergeCell ref="DT63:DV63"/>
    <mergeCell ref="DX63:DZ63"/>
    <mergeCell ref="CJ63:CL63"/>
    <mergeCell ref="CN63:CP63"/>
    <mergeCell ref="CR63:CT63"/>
    <mergeCell ref="CV63:CX63"/>
    <mergeCell ref="CZ63:DB63"/>
    <mergeCell ref="DD63:DF63"/>
    <mergeCell ref="DH63:DJ63"/>
    <mergeCell ref="AF64:AH64"/>
    <mergeCell ref="AJ64:AL64"/>
    <mergeCell ref="AN64:AP64"/>
    <mergeCell ref="AR64:AT64"/>
    <mergeCell ref="AV64:AX64"/>
    <mergeCell ref="AZ64:BB64"/>
    <mergeCell ref="BD64:BF64"/>
    <mergeCell ref="DL64:DN64"/>
    <mergeCell ref="DP64:DR64"/>
    <mergeCell ref="DT64:DV64"/>
    <mergeCell ref="DX64:DZ64"/>
    <mergeCell ref="CJ64:CL64"/>
    <mergeCell ref="CN64:CP64"/>
    <mergeCell ref="CR64:CT64"/>
    <mergeCell ref="CV64:CX64"/>
    <mergeCell ref="CZ64:DB64"/>
    <mergeCell ref="DD64:DF64"/>
    <mergeCell ref="DH64:DJ64"/>
    <mergeCell ref="CJ59:CL59"/>
    <mergeCell ref="CN59:CP59"/>
    <mergeCell ref="BH59:BJ59"/>
    <mergeCell ref="BL59:BN59"/>
    <mergeCell ref="BP59:BR59"/>
    <mergeCell ref="BT59:BV59"/>
    <mergeCell ref="BX59:BZ59"/>
    <mergeCell ref="CB59:CD59"/>
    <mergeCell ref="CF59:CH59"/>
    <mergeCell ref="CZ58:DB58"/>
    <mergeCell ref="DD58:DF58"/>
    <mergeCell ref="DH58:DJ58"/>
    <mergeCell ref="DL58:DN58"/>
    <mergeCell ref="DP58:DR58"/>
    <mergeCell ref="DT58:DV58"/>
    <mergeCell ref="DX58:DZ58"/>
    <mergeCell ref="CV58:CX58"/>
    <mergeCell ref="CV59:CX59"/>
    <mergeCell ref="CZ59:DB59"/>
    <mergeCell ref="DD59:DF59"/>
    <mergeCell ref="DH59:DJ59"/>
    <mergeCell ref="DL59:DN59"/>
    <mergeCell ref="DP59:DR59"/>
    <mergeCell ref="CJ60:CL60"/>
    <mergeCell ref="CN60:CP60"/>
    <mergeCell ref="BH60:BJ60"/>
    <mergeCell ref="BL60:BN60"/>
    <mergeCell ref="BP60:BR60"/>
    <mergeCell ref="BT60:BV60"/>
    <mergeCell ref="BX60:BZ60"/>
    <mergeCell ref="CB60:CD60"/>
    <mergeCell ref="CF60:CH60"/>
    <mergeCell ref="DT60:DV60"/>
    <mergeCell ref="DX60:DZ60"/>
    <mergeCell ref="CR60:CT60"/>
    <mergeCell ref="CV60:CX60"/>
    <mergeCell ref="CZ60:DB60"/>
    <mergeCell ref="DD60:DF60"/>
    <mergeCell ref="DH60:DJ60"/>
    <mergeCell ref="DL60:DN60"/>
    <mergeCell ref="DP60:DR60"/>
    <mergeCell ref="T58:V58"/>
    <mergeCell ref="X58:Z58"/>
    <mergeCell ref="AB58:AD58"/>
    <mergeCell ref="AF58:AH58"/>
    <mergeCell ref="AJ58:AL58"/>
    <mergeCell ref="AN58:AP58"/>
    <mergeCell ref="AR58:AT58"/>
    <mergeCell ref="AV58:AX58"/>
    <mergeCell ref="AZ58:BB58"/>
    <mergeCell ref="BD58:BF58"/>
    <mergeCell ref="BH58:BJ58"/>
    <mergeCell ref="BL58:BN58"/>
    <mergeCell ref="BP58:BR58"/>
    <mergeCell ref="BT58:BV58"/>
    <mergeCell ref="F55:G55"/>
    <mergeCell ref="F56:G56"/>
    <mergeCell ref="F57:G57"/>
    <mergeCell ref="F58:G58"/>
    <mergeCell ref="H58:J58"/>
    <mergeCell ref="L58:N58"/>
    <mergeCell ref="P58:R58"/>
    <mergeCell ref="AF59:AH59"/>
    <mergeCell ref="AJ59:AL59"/>
    <mergeCell ref="AN59:AP59"/>
    <mergeCell ref="AR59:AT59"/>
    <mergeCell ref="AV59:AX59"/>
    <mergeCell ref="AZ59:BB59"/>
    <mergeCell ref="BD59:BF59"/>
    <mergeCell ref="DT59:DV59"/>
    <mergeCell ref="DX59:DZ59"/>
    <mergeCell ref="AF60:AH60"/>
    <mergeCell ref="AJ60:AL60"/>
    <mergeCell ref="AN60:AP60"/>
    <mergeCell ref="AR60:AT60"/>
    <mergeCell ref="AV60:AX60"/>
    <mergeCell ref="AZ60:BB60"/>
    <mergeCell ref="BD60:BF60"/>
    <mergeCell ref="BX58:BZ58"/>
    <mergeCell ref="CB58:CD58"/>
    <mergeCell ref="CF58:CH58"/>
    <mergeCell ref="CJ58:CL58"/>
    <mergeCell ref="CN58:CP58"/>
    <mergeCell ref="CR58:CT58"/>
    <mergeCell ref="CR59:CT59"/>
    <mergeCell ref="BH61:BJ61"/>
    <mergeCell ref="BL61:BN61"/>
    <mergeCell ref="BP61:BR61"/>
    <mergeCell ref="BT61:BV61"/>
    <mergeCell ref="BX61:BZ61"/>
    <mergeCell ref="CB61:CD61"/>
    <mergeCell ref="CF61:CH61"/>
    <mergeCell ref="BH62:BJ62"/>
    <mergeCell ref="BL62:BN62"/>
    <mergeCell ref="BP62:BR62"/>
    <mergeCell ref="BT62:BV62"/>
    <mergeCell ref="BX62:BZ62"/>
    <mergeCell ref="CB62:CD62"/>
    <mergeCell ref="CF62:CH62"/>
    <mergeCell ref="F71:G71"/>
    <mergeCell ref="H71:J71"/>
    <mergeCell ref="L71:N71"/>
    <mergeCell ref="P71:R71"/>
    <mergeCell ref="T71:V71"/>
    <mergeCell ref="X71:Z71"/>
    <mergeCell ref="AB71:AD71"/>
    <mergeCell ref="F72:G72"/>
    <mergeCell ref="H72:J72"/>
    <mergeCell ref="L72:N72"/>
    <mergeCell ref="P72:R72"/>
    <mergeCell ref="T72:V72"/>
    <mergeCell ref="X72:Z72"/>
    <mergeCell ref="AB72:AD72"/>
    <mergeCell ref="DT72:DV72"/>
    <mergeCell ref="DX72:DZ72"/>
    <mergeCell ref="CR72:CT72"/>
    <mergeCell ref="CV72:CX72"/>
    <mergeCell ref="CZ72:DB72"/>
    <mergeCell ref="DD72:DF72"/>
    <mergeCell ref="DH72:DJ72"/>
    <mergeCell ref="DL72:DN72"/>
    <mergeCell ref="DP72:DR72"/>
    <mergeCell ref="AF73:AH73"/>
    <mergeCell ref="AJ73:AL73"/>
    <mergeCell ref="AN73:AP73"/>
    <mergeCell ref="AR73:AT73"/>
    <mergeCell ref="AV73:AX73"/>
    <mergeCell ref="AZ73:BB73"/>
    <mergeCell ref="BD73:BF73"/>
    <mergeCell ref="DL73:DN73"/>
    <mergeCell ref="DP73:DR73"/>
    <mergeCell ref="DT73:DV73"/>
    <mergeCell ref="DX73:DZ73"/>
    <mergeCell ref="CJ73:CL73"/>
    <mergeCell ref="CN73:CP73"/>
    <mergeCell ref="CR73:CT73"/>
    <mergeCell ref="CV73:CX73"/>
    <mergeCell ref="CZ73:DB73"/>
    <mergeCell ref="DD73:DF73"/>
    <mergeCell ref="DH73:DJ73"/>
    <mergeCell ref="DL74:DN74"/>
    <mergeCell ref="DP74:DR74"/>
    <mergeCell ref="DT74:DV74"/>
    <mergeCell ref="DX74:DZ74"/>
    <mergeCell ref="F75:G75"/>
    <mergeCell ref="H75:J75"/>
    <mergeCell ref="L75:N75"/>
    <mergeCell ref="P75:R75"/>
    <mergeCell ref="T75:V75"/>
    <mergeCell ref="X75:Z75"/>
    <mergeCell ref="AB75:AD75"/>
    <mergeCell ref="BH75:BJ75"/>
    <mergeCell ref="BL75:BN75"/>
    <mergeCell ref="BP75:BR75"/>
    <mergeCell ref="BT75:BV75"/>
    <mergeCell ref="BX75:BZ75"/>
    <mergeCell ref="CB75:CD75"/>
    <mergeCell ref="CF75:CH75"/>
    <mergeCell ref="DL75:DN75"/>
    <mergeCell ref="DP75:DR75"/>
    <mergeCell ref="DT75:DV75"/>
    <mergeCell ref="DX75:DZ75"/>
    <mergeCell ref="F73:G73"/>
    <mergeCell ref="H73:J73"/>
    <mergeCell ref="L73:N73"/>
    <mergeCell ref="P73:R73"/>
    <mergeCell ref="T73:V73"/>
    <mergeCell ref="X73:Z73"/>
    <mergeCell ref="AB73:AD73"/>
    <mergeCell ref="F74:G74"/>
    <mergeCell ref="H74:J74"/>
    <mergeCell ref="L74:N74"/>
    <mergeCell ref="P74:R74"/>
    <mergeCell ref="T74:V74"/>
    <mergeCell ref="X74:Z74"/>
    <mergeCell ref="AB74:AD74"/>
    <mergeCell ref="AF76:AH76"/>
    <mergeCell ref="AJ76:AL76"/>
    <mergeCell ref="AN76:AP76"/>
    <mergeCell ref="AR76:AT76"/>
    <mergeCell ref="AV76:AX76"/>
    <mergeCell ref="AZ76:BB76"/>
    <mergeCell ref="BD76:BF76"/>
    <mergeCell ref="DL76:DN76"/>
    <mergeCell ref="DP76:DR76"/>
    <mergeCell ref="DT76:DV76"/>
    <mergeCell ref="DX76:DZ76"/>
    <mergeCell ref="CJ76:CL76"/>
    <mergeCell ref="CN76:CP76"/>
    <mergeCell ref="CR76:CT76"/>
    <mergeCell ref="CV76:CX76"/>
    <mergeCell ref="CZ76:DB76"/>
    <mergeCell ref="DD76:DF76"/>
    <mergeCell ref="DH76:DJ76"/>
    <mergeCell ref="AF77:AH77"/>
    <mergeCell ref="AJ77:AL77"/>
    <mergeCell ref="AN77:AP77"/>
    <mergeCell ref="AR77:AT77"/>
    <mergeCell ref="AV77:AX77"/>
    <mergeCell ref="AZ77:BB77"/>
    <mergeCell ref="BD77:BF77"/>
    <mergeCell ref="DL77:DN77"/>
    <mergeCell ref="DP77:DR77"/>
    <mergeCell ref="DT77:DV77"/>
    <mergeCell ref="DX77:DZ77"/>
    <mergeCell ref="CJ77:CL77"/>
    <mergeCell ref="CN77:CP77"/>
    <mergeCell ref="CR77:CT77"/>
    <mergeCell ref="CV77:CX77"/>
    <mergeCell ref="CZ77:DB77"/>
    <mergeCell ref="DD77:DF77"/>
    <mergeCell ref="DH77:DJ77"/>
    <mergeCell ref="BH71:BJ71"/>
    <mergeCell ref="BL71:BN71"/>
    <mergeCell ref="BP71:BR71"/>
    <mergeCell ref="BT71:BV71"/>
    <mergeCell ref="BX71:BZ71"/>
    <mergeCell ref="CB71:CD71"/>
    <mergeCell ref="CF71:CH71"/>
    <mergeCell ref="BH72:BJ72"/>
    <mergeCell ref="BL72:BN72"/>
    <mergeCell ref="BP72:BR72"/>
    <mergeCell ref="BT72:BV72"/>
    <mergeCell ref="BX72:BZ72"/>
    <mergeCell ref="CB72:CD72"/>
    <mergeCell ref="CF72:CH72"/>
    <mergeCell ref="F69:G69"/>
    <mergeCell ref="H69:J69"/>
    <mergeCell ref="L69:N69"/>
    <mergeCell ref="P69:R69"/>
    <mergeCell ref="T69:V69"/>
    <mergeCell ref="X69:Z69"/>
    <mergeCell ref="AB69:AD69"/>
    <mergeCell ref="AF71:AH71"/>
    <mergeCell ref="AJ71:AL71"/>
    <mergeCell ref="AN71:AP71"/>
    <mergeCell ref="AR71:AT71"/>
    <mergeCell ref="AV71:AX71"/>
    <mergeCell ref="AZ71:BB71"/>
    <mergeCell ref="BD71:BF71"/>
    <mergeCell ref="DL71:DN71"/>
    <mergeCell ref="DP71:DR71"/>
    <mergeCell ref="DT71:DV71"/>
    <mergeCell ref="DX71:DZ71"/>
    <mergeCell ref="CJ71:CL71"/>
    <mergeCell ref="CN71:CP71"/>
    <mergeCell ref="CR71:CT71"/>
    <mergeCell ref="CV71:CX71"/>
    <mergeCell ref="CZ71:DB71"/>
    <mergeCell ref="DD71:DF71"/>
    <mergeCell ref="DH71:DJ71"/>
    <mergeCell ref="AF72:AH72"/>
    <mergeCell ref="AJ72:AL72"/>
    <mergeCell ref="AN72:AP72"/>
    <mergeCell ref="AR72:AT72"/>
    <mergeCell ref="AV72:AX72"/>
    <mergeCell ref="AZ72:BB72"/>
    <mergeCell ref="BD72:BF72"/>
    <mergeCell ref="CJ72:CL72"/>
    <mergeCell ref="CN72:CP72"/>
    <mergeCell ref="F70:G70"/>
    <mergeCell ref="H70:J70"/>
    <mergeCell ref="L70:N70"/>
    <mergeCell ref="P70:R70"/>
    <mergeCell ref="T70:V70"/>
    <mergeCell ref="X70:Z70"/>
    <mergeCell ref="AB70:AD70"/>
    <mergeCell ref="BH73:BJ73"/>
    <mergeCell ref="BL73:BN73"/>
    <mergeCell ref="BP73:BR73"/>
    <mergeCell ref="BT73:BV73"/>
    <mergeCell ref="BX73:BZ73"/>
    <mergeCell ref="CB73:CD73"/>
    <mergeCell ref="CF73:CH73"/>
    <mergeCell ref="BH74:BJ74"/>
    <mergeCell ref="BL74:BN74"/>
    <mergeCell ref="BP74:BR74"/>
    <mergeCell ref="BT74:BV74"/>
    <mergeCell ref="BX74:BZ74"/>
    <mergeCell ref="CB74:CD74"/>
    <mergeCell ref="CF74:CH74"/>
    <mergeCell ref="AF74:AH74"/>
    <mergeCell ref="AJ74:AL74"/>
    <mergeCell ref="AN74:AP74"/>
    <mergeCell ref="AR74:AT74"/>
    <mergeCell ref="AV74:AX74"/>
    <mergeCell ref="AZ74:BB74"/>
    <mergeCell ref="BD74:BF74"/>
    <mergeCell ref="AF75:AH75"/>
    <mergeCell ref="AJ75:AL75"/>
    <mergeCell ref="AN75:AP75"/>
    <mergeCell ref="AR75:AT75"/>
    <mergeCell ref="AV75:AX75"/>
    <mergeCell ref="AZ75:BB75"/>
    <mergeCell ref="BD75:BF75"/>
    <mergeCell ref="CJ74:CL74"/>
    <mergeCell ref="CN74:CP74"/>
    <mergeCell ref="CR74:CT74"/>
    <mergeCell ref="CV74:CX74"/>
    <mergeCell ref="CZ74:DB74"/>
    <mergeCell ref="DD74:DF74"/>
    <mergeCell ref="DH74:DJ74"/>
    <mergeCell ref="CJ75:CL75"/>
    <mergeCell ref="CN75:CP75"/>
    <mergeCell ref="CR75:CT75"/>
    <mergeCell ref="CV75:CX75"/>
    <mergeCell ref="CZ75:DB75"/>
    <mergeCell ref="DD75:DF75"/>
    <mergeCell ref="DH75:DJ75"/>
    <mergeCell ref="BH76:BJ76"/>
    <mergeCell ref="BL76:BN76"/>
    <mergeCell ref="BP76:BR76"/>
    <mergeCell ref="BT76:BV76"/>
    <mergeCell ref="BX76:BZ76"/>
    <mergeCell ref="CB76:CD76"/>
    <mergeCell ref="CF76:CH76"/>
    <mergeCell ref="BH77:BJ77"/>
    <mergeCell ref="BL77:BN77"/>
    <mergeCell ref="BP77:BR77"/>
    <mergeCell ref="BT77:BV77"/>
    <mergeCell ref="BX77:BZ77"/>
    <mergeCell ref="CB77:CD77"/>
    <mergeCell ref="CF77:CH77"/>
    <mergeCell ref="DT79:DV79"/>
    <mergeCell ref="DX79:DZ79"/>
    <mergeCell ref="CR79:CT79"/>
    <mergeCell ref="CV79:CX79"/>
    <mergeCell ref="CZ79:DB79"/>
    <mergeCell ref="DD79:DF79"/>
    <mergeCell ref="DH79:DJ79"/>
    <mergeCell ref="DL79:DN79"/>
    <mergeCell ref="DP79:DR79"/>
    <mergeCell ref="F78:G78"/>
    <mergeCell ref="H78:J78"/>
    <mergeCell ref="L78:N78"/>
    <mergeCell ref="P78:R78"/>
    <mergeCell ref="T78:V78"/>
    <mergeCell ref="X78:Z78"/>
    <mergeCell ref="AB78:AD78"/>
    <mergeCell ref="F79:G79"/>
    <mergeCell ref="H79:J79"/>
    <mergeCell ref="L79:N79"/>
    <mergeCell ref="P79:R79"/>
    <mergeCell ref="T79:V79"/>
    <mergeCell ref="X79:Z79"/>
    <mergeCell ref="AB79:AD79"/>
    <mergeCell ref="AF80:AH80"/>
    <mergeCell ref="AJ80:AL80"/>
    <mergeCell ref="AN80:AP80"/>
    <mergeCell ref="AR80:AT80"/>
    <mergeCell ref="AV80:AX80"/>
    <mergeCell ref="AZ80:BB80"/>
    <mergeCell ref="BD80:BF80"/>
    <mergeCell ref="DL80:DN80"/>
    <mergeCell ref="DP80:DR80"/>
    <mergeCell ref="DT80:DV80"/>
    <mergeCell ref="DX80:DZ80"/>
    <mergeCell ref="CJ80:CL80"/>
    <mergeCell ref="CN80:CP80"/>
    <mergeCell ref="CR80:CT80"/>
    <mergeCell ref="CV80:CX80"/>
    <mergeCell ref="CZ80:DB80"/>
    <mergeCell ref="DD80:DF80"/>
    <mergeCell ref="DH80:DJ80"/>
    <mergeCell ref="DL81:DN81"/>
    <mergeCell ref="DP81:DR81"/>
    <mergeCell ref="DT81:DV81"/>
    <mergeCell ref="DX81:DZ81"/>
    <mergeCell ref="F82:G82"/>
    <mergeCell ref="H82:J82"/>
    <mergeCell ref="L82:N82"/>
    <mergeCell ref="P82:R82"/>
    <mergeCell ref="T82:V82"/>
    <mergeCell ref="X82:Z82"/>
    <mergeCell ref="AB82:AD82"/>
    <mergeCell ref="BH82:BJ82"/>
    <mergeCell ref="BL82:BN82"/>
    <mergeCell ref="BP82:BR82"/>
    <mergeCell ref="BT82:BV82"/>
    <mergeCell ref="BX82:BZ82"/>
    <mergeCell ref="CB82:CD82"/>
    <mergeCell ref="CF82:CH82"/>
    <mergeCell ref="DL82:DN82"/>
    <mergeCell ref="DP82:DR82"/>
    <mergeCell ref="DT82:DV82"/>
    <mergeCell ref="DX82:DZ82"/>
    <mergeCell ref="F80:G80"/>
    <mergeCell ref="H80:J80"/>
    <mergeCell ref="L80:N80"/>
    <mergeCell ref="P80:R80"/>
    <mergeCell ref="T80:V80"/>
    <mergeCell ref="X80:Z80"/>
    <mergeCell ref="AB80:AD80"/>
    <mergeCell ref="F81:G81"/>
    <mergeCell ref="H81:J81"/>
    <mergeCell ref="L81:N81"/>
    <mergeCell ref="P81:R81"/>
    <mergeCell ref="T81:V81"/>
    <mergeCell ref="X81:Z81"/>
    <mergeCell ref="AB81:AD81"/>
    <mergeCell ref="AF83:AH83"/>
    <mergeCell ref="AJ83:AL83"/>
    <mergeCell ref="AN83:AP83"/>
    <mergeCell ref="AR83:AT83"/>
    <mergeCell ref="AV83:AX83"/>
    <mergeCell ref="AZ83:BB83"/>
    <mergeCell ref="BD83:BF83"/>
    <mergeCell ref="DL83:DN83"/>
    <mergeCell ref="DP83:DR83"/>
    <mergeCell ref="DT83:DV83"/>
    <mergeCell ref="DX83:DZ83"/>
    <mergeCell ref="CJ83:CL83"/>
    <mergeCell ref="CN83:CP83"/>
    <mergeCell ref="CR83:CT83"/>
    <mergeCell ref="CV83:CX83"/>
    <mergeCell ref="CZ83:DB83"/>
    <mergeCell ref="DD83:DF83"/>
    <mergeCell ref="DH83:DJ83"/>
    <mergeCell ref="AF84:AH84"/>
    <mergeCell ref="AJ84:AL84"/>
    <mergeCell ref="AN84:AP84"/>
    <mergeCell ref="AR84:AT84"/>
    <mergeCell ref="AV84:AX84"/>
    <mergeCell ref="AZ84:BB84"/>
    <mergeCell ref="BD84:BF84"/>
    <mergeCell ref="DL84:DN84"/>
    <mergeCell ref="DP84:DR84"/>
    <mergeCell ref="DT84:DV84"/>
    <mergeCell ref="DX84:DZ84"/>
    <mergeCell ref="CJ84:CL84"/>
    <mergeCell ref="CN84:CP84"/>
    <mergeCell ref="CR84:CT84"/>
    <mergeCell ref="CV84:CX84"/>
    <mergeCell ref="CZ84:DB84"/>
    <mergeCell ref="DD84:DF84"/>
    <mergeCell ref="DH84:DJ84"/>
    <mergeCell ref="BH78:BJ78"/>
    <mergeCell ref="BL78:BN78"/>
    <mergeCell ref="BP78:BR78"/>
    <mergeCell ref="BT78:BV78"/>
    <mergeCell ref="BX78:BZ78"/>
    <mergeCell ref="CB78:CD78"/>
    <mergeCell ref="CF78:CH78"/>
    <mergeCell ref="BH79:BJ79"/>
    <mergeCell ref="BL79:BN79"/>
    <mergeCell ref="BP79:BR79"/>
    <mergeCell ref="BT79:BV79"/>
    <mergeCell ref="BX79:BZ79"/>
    <mergeCell ref="CB79:CD79"/>
    <mergeCell ref="CF79:CH79"/>
    <mergeCell ref="F76:G76"/>
    <mergeCell ref="H76:J76"/>
    <mergeCell ref="L76:N76"/>
    <mergeCell ref="P76:R76"/>
    <mergeCell ref="T76:V76"/>
    <mergeCell ref="X76:Z76"/>
    <mergeCell ref="AB76:AD76"/>
    <mergeCell ref="AF78:AH78"/>
    <mergeCell ref="AJ78:AL78"/>
    <mergeCell ref="AN78:AP78"/>
    <mergeCell ref="AR78:AT78"/>
    <mergeCell ref="AV78:AX78"/>
    <mergeCell ref="AZ78:BB78"/>
    <mergeCell ref="BD78:BF78"/>
    <mergeCell ref="DL78:DN78"/>
    <mergeCell ref="DP78:DR78"/>
    <mergeCell ref="DT78:DV78"/>
    <mergeCell ref="DX78:DZ78"/>
    <mergeCell ref="CJ78:CL78"/>
    <mergeCell ref="CN78:CP78"/>
    <mergeCell ref="CR78:CT78"/>
    <mergeCell ref="CV78:CX78"/>
    <mergeCell ref="CZ78:DB78"/>
    <mergeCell ref="DD78:DF78"/>
    <mergeCell ref="DH78:DJ78"/>
    <mergeCell ref="AF79:AH79"/>
    <mergeCell ref="AJ79:AL79"/>
    <mergeCell ref="AN79:AP79"/>
    <mergeCell ref="AR79:AT79"/>
    <mergeCell ref="AV79:AX79"/>
    <mergeCell ref="AZ79:BB79"/>
    <mergeCell ref="BD79:BF79"/>
    <mergeCell ref="CJ79:CL79"/>
    <mergeCell ref="CN79:CP79"/>
    <mergeCell ref="F77:G77"/>
    <mergeCell ref="H77:J77"/>
    <mergeCell ref="L77:N77"/>
    <mergeCell ref="P77:R77"/>
    <mergeCell ref="T77:V77"/>
    <mergeCell ref="X77:Z77"/>
    <mergeCell ref="AB77:AD77"/>
    <mergeCell ref="BH80:BJ80"/>
    <mergeCell ref="BL80:BN80"/>
    <mergeCell ref="BP80:BR80"/>
    <mergeCell ref="BT80:BV80"/>
    <mergeCell ref="BX80:BZ80"/>
    <mergeCell ref="CB80:CD80"/>
    <mergeCell ref="CF80:CH80"/>
    <mergeCell ref="BH81:BJ81"/>
    <mergeCell ref="BL81:BN81"/>
    <mergeCell ref="BP81:BR81"/>
    <mergeCell ref="BT81:BV81"/>
    <mergeCell ref="BX81:BZ81"/>
    <mergeCell ref="CB81:CD81"/>
    <mergeCell ref="CF81:CH81"/>
    <mergeCell ref="AF81:AH81"/>
    <mergeCell ref="AJ81:AL81"/>
    <mergeCell ref="AN81:AP81"/>
    <mergeCell ref="AR81:AT81"/>
    <mergeCell ref="AV81:AX81"/>
    <mergeCell ref="AZ81:BB81"/>
    <mergeCell ref="BD81:BF81"/>
    <mergeCell ref="AF82:AH82"/>
    <mergeCell ref="AJ82:AL82"/>
    <mergeCell ref="AN82:AP82"/>
    <mergeCell ref="AR82:AT82"/>
    <mergeCell ref="AV82:AX82"/>
    <mergeCell ref="AZ82:BB82"/>
    <mergeCell ref="BD82:BF82"/>
    <mergeCell ref="CJ81:CL81"/>
    <mergeCell ref="CN81:CP81"/>
    <mergeCell ref="CR81:CT81"/>
    <mergeCell ref="CV81:CX81"/>
    <mergeCell ref="CZ81:DB81"/>
    <mergeCell ref="DD81:DF81"/>
    <mergeCell ref="DH81:DJ81"/>
    <mergeCell ref="CJ82:CL82"/>
    <mergeCell ref="CN82:CP82"/>
    <mergeCell ref="CR82:CT82"/>
    <mergeCell ref="CV82:CX82"/>
    <mergeCell ref="CZ82:DB82"/>
    <mergeCell ref="DD82:DF82"/>
    <mergeCell ref="DH82:DJ82"/>
    <mergeCell ref="BH83:BJ83"/>
    <mergeCell ref="BL83:BN83"/>
    <mergeCell ref="BP83:BR83"/>
    <mergeCell ref="BT83:BV83"/>
    <mergeCell ref="BX83:BZ83"/>
    <mergeCell ref="CB83:CD83"/>
    <mergeCell ref="CF83:CH83"/>
    <mergeCell ref="BH84:BJ84"/>
    <mergeCell ref="BL84:BN84"/>
    <mergeCell ref="BP84:BR84"/>
    <mergeCell ref="BT84:BV84"/>
    <mergeCell ref="BX84:BZ84"/>
    <mergeCell ref="CB84:CD84"/>
    <mergeCell ref="CF84:CH84"/>
    <mergeCell ref="DT86:DV86"/>
    <mergeCell ref="DX86:DZ86"/>
    <mergeCell ref="CR86:CT86"/>
    <mergeCell ref="CV86:CX86"/>
    <mergeCell ref="CZ86:DB86"/>
    <mergeCell ref="DD86:DF86"/>
    <mergeCell ref="DH86:DJ86"/>
    <mergeCell ref="DL86:DN86"/>
    <mergeCell ref="DP86:DR86"/>
    <mergeCell ref="F85:G85"/>
    <mergeCell ref="H85:J85"/>
    <mergeCell ref="L85:N85"/>
    <mergeCell ref="P85:R85"/>
    <mergeCell ref="T85:V85"/>
    <mergeCell ref="X85:Z85"/>
    <mergeCell ref="AB85:AD85"/>
    <mergeCell ref="F86:G86"/>
    <mergeCell ref="H86:J86"/>
    <mergeCell ref="L86:N86"/>
    <mergeCell ref="P86:R86"/>
    <mergeCell ref="T86:V86"/>
    <mergeCell ref="X86:Z86"/>
    <mergeCell ref="AB86:AD86"/>
    <mergeCell ref="F41:G41"/>
    <mergeCell ref="H41:J41"/>
    <mergeCell ref="L41:N41"/>
    <mergeCell ref="P41:R41"/>
    <mergeCell ref="T41:V41"/>
    <mergeCell ref="X41:Z41"/>
    <mergeCell ref="AB41:AD41"/>
    <mergeCell ref="F42:G42"/>
    <mergeCell ref="H42:J42"/>
    <mergeCell ref="L42:N42"/>
    <mergeCell ref="P42:R42"/>
    <mergeCell ref="T42:V42"/>
    <mergeCell ref="X42:Z42"/>
    <mergeCell ref="AB42:AD42"/>
    <mergeCell ref="AF46:AH46"/>
    <mergeCell ref="AJ46:AL46"/>
    <mergeCell ref="AN46:AP46"/>
    <mergeCell ref="AR46:AT46"/>
    <mergeCell ref="AV46:AX46"/>
    <mergeCell ref="AZ46:BB46"/>
    <mergeCell ref="BD46:BF46"/>
    <mergeCell ref="DL46:DN46"/>
    <mergeCell ref="DP46:DR46"/>
    <mergeCell ref="DT46:DV46"/>
    <mergeCell ref="DX46:DZ46"/>
    <mergeCell ref="CJ46:CL46"/>
    <mergeCell ref="CN46:CP46"/>
    <mergeCell ref="CR46:CT46"/>
    <mergeCell ref="CV46:CX46"/>
    <mergeCell ref="CZ46:DB46"/>
    <mergeCell ref="DD46:DF46"/>
    <mergeCell ref="DH46:DJ46"/>
    <mergeCell ref="AF47:AH47"/>
    <mergeCell ref="AJ47:AL47"/>
    <mergeCell ref="AN47:AP47"/>
    <mergeCell ref="AR47:AT47"/>
    <mergeCell ref="AV47:AX47"/>
    <mergeCell ref="AZ47:BB47"/>
    <mergeCell ref="BD47:BF47"/>
    <mergeCell ref="DL47:DN47"/>
    <mergeCell ref="DP47:DR47"/>
    <mergeCell ref="DT47:DV47"/>
    <mergeCell ref="DX47:DZ47"/>
    <mergeCell ref="CJ47:CL47"/>
    <mergeCell ref="CN47:CP47"/>
    <mergeCell ref="CR47:CT47"/>
    <mergeCell ref="CV47:CX47"/>
    <mergeCell ref="CZ47:DB47"/>
    <mergeCell ref="DD47:DF47"/>
    <mergeCell ref="DH47:DJ47"/>
    <mergeCell ref="F46:G46"/>
    <mergeCell ref="H46:J46"/>
    <mergeCell ref="L46:N46"/>
    <mergeCell ref="P46:R46"/>
    <mergeCell ref="T46:V46"/>
    <mergeCell ref="X46:Z46"/>
    <mergeCell ref="AB46:AD46"/>
    <mergeCell ref="F47:G47"/>
    <mergeCell ref="H47:J47"/>
    <mergeCell ref="L47:N47"/>
    <mergeCell ref="P47:R47"/>
    <mergeCell ref="T47:V47"/>
    <mergeCell ref="X47:Z47"/>
    <mergeCell ref="AB47:AD47"/>
    <mergeCell ref="AF48:AH48"/>
    <mergeCell ref="AJ48:AL48"/>
    <mergeCell ref="AN48:AP48"/>
    <mergeCell ref="AR48:AT48"/>
    <mergeCell ref="AV48:AX48"/>
    <mergeCell ref="AZ48:BB48"/>
    <mergeCell ref="BD48:BF48"/>
    <mergeCell ref="DL48:DN48"/>
    <mergeCell ref="DP48:DR48"/>
    <mergeCell ref="DT48:DV48"/>
    <mergeCell ref="DX48:DZ48"/>
    <mergeCell ref="CJ48:CL48"/>
    <mergeCell ref="CN48:CP48"/>
    <mergeCell ref="CR48:CT48"/>
    <mergeCell ref="CV48:CX48"/>
    <mergeCell ref="CZ48:DB48"/>
    <mergeCell ref="DD48:DF48"/>
    <mergeCell ref="DH48:DJ48"/>
    <mergeCell ref="AF49:AH49"/>
    <mergeCell ref="AJ49:AL49"/>
    <mergeCell ref="AN49:AP49"/>
    <mergeCell ref="AR49:AT49"/>
    <mergeCell ref="AV49:AX49"/>
    <mergeCell ref="AZ49:BB49"/>
    <mergeCell ref="BD49:BF49"/>
    <mergeCell ref="DL49:DN49"/>
    <mergeCell ref="DP49:DR49"/>
    <mergeCell ref="DT49:DV49"/>
    <mergeCell ref="DX49:DZ49"/>
    <mergeCell ref="CJ49:CL49"/>
    <mergeCell ref="CN49:CP49"/>
    <mergeCell ref="CR49:CT49"/>
    <mergeCell ref="CV49:CX49"/>
    <mergeCell ref="CZ49:DB49"/>
    <mergeCell ref="DD49:DF49"/>
    <mergeCell ref="DH49:DJ49"/>
    <mergeCell ref="BH52:BJ52"/>
    <mergeCell ref="BL52:BN52"/>
    <mergeCell ref="BP52:BR52"/>
    <mergeCell ref="BT52:BV52"/>
    <mergeCell ref="BX52:BZ52"/>
    <mergeCell ref="CB52:CD52"/>
    <mergeCell ref="CF52:CH52"/>
    <mergeCell ref="BH53:BJ53"/>
    <mergeCell ref="BL53:BN53"/>
    <mergeCell ref="BP53:BR53"/>
    <mergeCell ref="BT53:BV53"/>
    <mergeCell ref="BX53:BZ53"/>
    <mergeCell ref="CB53:CD53"/>
    <mergeCell ref="CF53:CH53"/>
    <mergeCell ref="F50:G50"/>
    <mergeCell ref="H50:J50"/>
    <mergeCell ref="L50:N50"/>
    <mergeCell ref="P50:R50"/>
    <mergeCell ref="T50:V50"/>
    <mergeCell ref="X50:Z50"/>
    <mergeCell ref="AB50:AD50"/>
    <mergeCell ref="F51:G51"/>
    <mergeCell ref="H51:J51"/>
    <mergeCell ref="L51:N51"/>
    <mergeCell ref="P51:R51"/>
    <mergeCell ref="T51:V51"/>
    <mergeCell ref="X51:Z51"/>
    <mergeCell ref="AB51:AD51"/>
    <mergeCell ref="AF52:AH52"/>
    <mergeCell ref="AJ52:AL52"/>
    <mergeCell ref="AN52:AP52"/>
    <mergeCell ref="AR52:AT52"/>
    <mergeCell ref="AV52:AX52"/>
    <mergeCell ref="AZ52:BB52"/>
    <mergeCell ref="BD52:BF52"/>
    <mergeCell ref="DL52:DN52"/>
    <mergeCell ref="DP52:DR52"/>
    <mergeCell ref="DT52:DV52"/>
    <mergeCell ref="DX52:DZ52"/>
    <mergeCell ref="CJ52:CL52"/>
    <mergeCell ref="CN52:CP52"/>
    <mergeCell ref="CR52:CT52"/>
    <mergeCell ref="CV52:CX52"/>
    <mergeCell ref="CZ52:DB52"/>
    <mergeCell ref="DD52:DF52"/>
    <mergeCell ref="DH52:DJ52"/>
    <mergeCell ref="AF53:AH53"/>
    <mergeCell ref="AJ53:AL53"/>
    <mergeCell ref="AN53:AP53"/>
    <mergeCell ref="AR53:AT53"/>
    <mergeCell ref="AV53:AX53"/>
    <mergeCell ref="AZ53:BB53"/>
    <mergeCell ref="BD53:BF53"/>
    <mergeCell ref="DL53:DN53"/>
    <mergeCell ref="DP53:DR53"/>
    <mergeCell ref="DT53:DV53"/>
    <mergeCell ref="DX53:DZ53"/>
    <mergeCell ref="CJ53:CL53"/>
    <mergeCell ref="CN53:CP53"/>
    <mergeCell ref="CR53:CT53"/>
    <mergeCell ref="CV53:CX53"/>
    <mergeCell ref="CZ53:DB53"/>
    <mergeCell ref="DD53:DF53"/>
    <mergeCell ref="DH53:DJ53"/>
    <mergeCell ref="BH43:BJ43"/>
    <mergeCell ref="BL43:BN43"/>
    <mergeCell ref="BP43:BR43"/>
    <mergeCell ref="BT43:BV43"/>
    <mergeCell ref="BX43:BZ43"/>
    <mergeCell ref="CB43:CD43"/>
    <mergeCell ref="CF43:CH43"/>
    <mergeCell ref="BH44:BJ44"/>
    <mergeCell ref="BL44:BN44"/>
    <mergeCell ref="BP44:BR44"/>
    <mergeCell ref="BT44:BV44"/>
    <mergeCell ref="BX44:BZ44"/>
    <mergeCell ref="CB44:CD44"/>
    <mergeCell ref="CF44:CH44"/>
    <mergeCell ref="AF44:AH44"/>
    <mergeCell ref="AJ44:AL44"/>
    <mergeCell ref="AN44:AP44"/>
    <mergeCell ref="AR44:AT44"/>
    <mergeCell ref="AV44:AX44"/>
    <mergeCell ref="AZ44:BB44"/>
    <mergeCell ref="BD44:BF44"/>
    <mergeCell ref="AF45:AH45"/>
    <mergeCell ref="AJ45:AL45"/>
    <mergeCell ref="AN45:AP45"/>
    <mergeCell ref="AR45:AT45"/>
    <mergeCell ref="AV45:AX45"/>
    <mergeCell ref="AZ45:BB45"/>
    <mergeCell ref="BD45:BF45"/>
    <mergeCell ref="CJ44:CL44"/>
    <mergeCell ref="CN44:CP44"/>
    <mergeCell ref="CR44:CT44"/>
    <mergeCell ref="CV44:CX44"/>
    <mergeCell ref="CZ44:DB44"/>
    <mergeCell ref="DD44:DF44"/>
    <mergeCell ref="DH44:DJ44"/>
    <mergeCell ref="CJ45:CL45"/>
    <mergeCell ref="CN45:CP45"/>
    <mergeCell ref="CR45:CT45"/>
    <mergeCell ref="CV45:CX45"/>
    <mergeCell ref="CZ45:DB45"/>
    <mergeCell ref="DD45:DF45"/>
    <mergeCell ref="DH45:DJ45"/>
    <mergeCell ref="AF43:AH43"/>
    <mergeCell ref="AJ43:AL43"/>
    <mergeCell ref="AN43:AP43"/>
    <mergeCell ref="AR43:AT43"/>
    <mergeCell ref="AV43:AX43"/>
    <mergeCell ref="AZ43:BB43"/>
    <mergeCell ref="BD43:BF43"/>
    <mergeCell ref="DL43:DN43"/>
    <mergeCell ref="DP43:DR43"/>
    <mergeCell ref="DT43:DV43"/>
    <mergeCell ref="DX43:DZ43"/>
    <mergeCell ref="CJ43:CL43"/>
    <mergeCell ref="CN43:CP43"/>
    <mergeCell ref="CR43:CT43"/>
    <mergeCell ref="CV43:CX43"/>
    <mergeCell ref="CZ43:DB43"/>
    <mergeCell ref="DD43:DF43"/>
    <mergeCell ref="DH43:DJ43"/>
    <mergeCell ref="DL44:DN44"/>
    <mergeCell ref="DP44:DR44"/>
    <mergeCell ref="DT44:DV44"/>
    <mergeCell ref="DX44:DZ44"/>
    <mergeCell ref="F45:G45"/>
    <mergeCell ref="H45:J45"/>
    <mergeCell ref="L45:N45"/>
    <mergeCell ref="P45:R45"/>
    <mergeCell ref="T45:V45"/>
    <mergeCell ref="X45:Z45"/>
    <mergeCell ref="AB45:AD45"/>
    <mergeCell ref="BH45:BJ45"/>
    <mergeCell ref="BL45:BN45"/>
    <mergeCell ref="BP45:BR45"/>
    <mergeCell ref="BT45:BV45"/>
    <mergeCell ref="BX45:BZ45"/>
    <mergeCell ref="CB45:CD45"/>
    <mergeCell ref="CF45:CH45"/>
    <mergeCell ref="DL45:DN45"/>
    <mergeCell ref="DP45:DR45"/>
    <mergeCell ref="DT45:DV45"/>
    <mergeCell ref="DX45:DZ45"/>
    <mergeCell ref="BH46:BJ46"/>
    <mergeCell ref="BL46:BN46"/>
    <mergeCell ref="BP46:BR46"/>
    <mergeCell ref="BT46:BV46"/>
    <mergeCell ref="BX46:BZ46"/>
    <mergeCell ref="CB46:CD46"/>
    <mergeCell ref="CF46:CH46"/>
    <mergeCell ref="BH47:BJ47"/>
    <mergeCell ref="BL47:BN47"/>
    <mergeCell ref="BP47:BR47"/>
    <mergeCell ref="BT47:BV47"/>
    <mergeCell ref="BX47:BZ47"/>
    <mergeCell ref="CB47:CD47"/>
    <mergeCell ref="CF47:CH47"/>
    <mergeCell ref="BH48:BJ48"/>
    <mergeCell ref="BL48:BN48"/>
    <mergeCell ref="BP48:BR48"/>
    <mergeCell ref="BT48:BV48"/>
    <mergeCell ref="BX48:BZ48"/>
    <mergeCell ref="CB48:CD48"/>
    <mergeCell ref="CF48:CH48"/>
    <mergeCell ref="BH49:BJ49"/>
    <mergeCell ref="BL49:BN49"/>
    <mergeCell ref="BP49:BR49"/>
    <mergeCell ref="BT49:BV49"/>
    <mergeCell ref="BX49:BZ49"/>
    <mergeCell ref="CB49:CD49"/>
    <mergeCell ref="CF49:CH49"/>
    <mergeCell ref="DT51:DV51"/>
    <mergeCell ref="DX51:DZ51"/>
    <mergeCell ref="CR51:CT51"/>
    <mergeCell ref="CV51:CX51"/>
    <mergeCell ref="CZ51:DB51"/>
    <mergeCell ref="DD51:DF51"/>
    <mergeCell ref="DH51:DJ51"/>
    <mergeCell ref="DL51:DN51"/>
    <mergeCell ref="DP51:DR51"/>
    <mergeCell ref="F52:G52"/>
    <mergeCell ref="H52:J52"/>
    <mergeCell ref="L52:N52"/>
    <mergeCell ref="P52:R52"/>
    <mergeCell ref="T52:V52"/>
    <mergeCell ref="X52:Z52"/>
    <mergeCell ref="AB52:AD52"/>
    <mergeCell ref="F53:G53"/>
    <mergeCell ref="H53:J53"/>
    <mergeCell ref="L53:N53"/>
    <mergeCell ref="P53:R53"/>
    <mergeCell ref="T53:V53"/>
    <mergeCell ref="X53:Z53"/>
    <mergeCell ref="AB53:AD53"/>
    <mergeCell ref="AF54:AH54"/>
    <mergeCell ref="AJ54:AL54"/>
    <mergeCell ref="AN54:AP54"/>
    <mergeCell ref="AR54:AT54"/>
    <mergeCell ref="AV54:AX54"/>
    <mergeCell ref="AZ54:BB54"/>
    <mergeCell ref="BD54:BF54"/>
    <mergeCell ref="BH54:BJ54"/>
    <mergeCell ref="BL54:BN54"/>
    <mergeCell ref="BP54:BR54"/>
    <mergeCell ref="BT54:BV54"/>
    <mergeCell ref="BX54:BZ54"/>
    <mergeCell ref="CB54:CD54"/>
    <mergeCell ref="CF54:CH54"/>
    <mergeCell ref="DL54:DN54"/>
    <mergeCell ref="DP54:DR54"/>
    <mergeCell ref="DT54:DV54"/>
    <mergeCell ref="DX54:DZ54"/>
    <mergeCell ref="CJ54:CL54"/>
    <mergeCell ref="CN54:CP54"/>
    <mergeCell ref="CR54:CT54"/>
    <mergeCell ref="CV54:CX54"/>
    <mergeCell ref="CZ54:DB54"/>
    <mergeCell ref="DD54:DF54"/>
    <mergeCell ref="DH54:DJ54"/>
    <mergeCell ref="F54:G54"/>
    <mergeCell ref="H54:J54"/>
    <mergeCell ref="L54:N54"/>
    <mergeCell ref="P54:R54"/>
    <mergeCell ref="T54:V54"/>
    <mergeCell ref="X54:Z54"/>
    <mergeCell ref="AB54:AD54"/>
    <mergeCell ref="BH65:BJ65"/>
    <mergeCell ref="BL65:BN65"/>
    <mergeCell ref="BP65:BR65"/>
    <mergeCell ref="BT65:BV65"/>
    <mergeCell ref="BX65:BZ65"/>
    <mergeCell ref="CB65:CD65"/>
    <mergeCell ref="CF65:CH65"/>
    <mergeCell ref="BH66:BJ66"/>
    <mergeCell ref="BL66:BN66"/>
    <mergeCell ref="BP66:BR66"/>
    <mergeCell ref="BT66:BV66"/>
    <mergeCell ref="BX66:BZ66"/>
    <mergeCell ref="CB66:CD66"/>
    <mergeCell ref="CF66:CH66"/>
    <mergeCell ref="F63:G63"/>
    <mergeCell ref="H63:J63"/>
    <mergeCell ref="L63:N63"/>
    <mergeCell ref="P63:R63"/>
    <mergeCell ref="T63:V63"/>
    <mergeCell ref="X63:Z63"/>
    <mergeCell ref="AB63:AD63"/>
    <mergeCell ref="F64:G64"/>
    <mergeCell ref="H64:J64"/>
    <mergeCell ref="L64:N64"/>
    <mergeCell ref="P64:R64"/>
    <mergeCell ref="T64:V64"/>
    <mergeCell ref="X64:Z64"/>
    <mergeCell ref="AB64:AD64"/>
    <mergeCell ref="AF65:AH65"/>
    <mergeCell ref="AJ65:AL65"/>
    <mergeCell ref="AN65:AP65"/>
    <mergeCell ref="AR65:AT65"/>
    <mergeCell ref="AV65:AX65"/>
    <mergeCell ref="AZ65:BB65"/>
    <mergeCell ref="BD65:BF65"/>
    <mergeCell ref="DL65:DN65"/>
    <mergeCell ref="DP65:DR65"/>
    <mergeCell ref="DT65:DV65"/>
    <mergeCell ref="DX65:DZ65"/>
    <mergeCell ref="CJ65:CL65"/>
    <mergeCell ref="CN65:CP65"/>
    <mergeCell ref="CR65:CT65"/>
    <mergeCell ref="CV65:CX65"/>
    <mergeCell ref="CZ65:DB65"/>
    <mergeCell ref="DD65:DF65"/>
    <mergeCell ref="DH65:DJ65"/>
    <mergeCell ref="AF66:AH66"/>
    <mergeCell ref="AJ66:AL66"/>
    <mergeCell ref="AN66:AP66"/>
    <mergeCell ref="AR66:AT66"/>
    <mergeCell ref="AV66:AX66"/>
    <mergeCell ref="AZ66:BB66"/>
    <mergeCell ref="BD66:BF66"/>
    <mergeCell ref="DL66:DN66"/>
    <mergeCell ref="DP66:DR66"/>
    <mergeCell ref="DT66:DV66"/>
    <mergeCell ref="DX66:DZ66"/>
    <mergeCell ref="CJ66:CL66"/>
    <mergeCell ref="CN66:CP66"/>
    <mergeCell ref="CR66:CT66"/>
    <mergeCell ref="CV66:CX66"/>
    <mergeCell ref="CZ66:DB66"/>
    <mergeCell ref="DD66:DF66"/>
    <mergeCell ref="DH66:DJ66"/>
    <mergeCell ref="BH67:BJ67"/>
    <mergeCell ref="BL67:BN67"/>
    <mergeCell ref="BP67:BR67"/>
    <mergeCell ref="BT67:BV67"/>
    <mergeCell ref="BX67:BZ67"/>
    <mergeCell ref="CB67:CD67"/>
    <mergeCell ref="CF67:CH67"/>
    <mergeCell ref="BH68:BJ68"/>
    <mergeCell ref="BL68:BN68"/>
    <mergeCell ref="BP68:BR68"/>
    <mergeCell ref="BT68:BV68"/>
    <mergeCell ref="BX68:BZ68"/>
    <mergeCell ref="CB68:CD68"/>
    <mergeCell ref="CF68:CH68"/>
    <mergeCell ref="F65:G65"/>
    <mergeCell ref="H65:J65"/>
    <mergeCell ref="L65:N65"/>
    <mergeCell ref="P65:R65"/>
    <mergeCell ref="T65:V65"/>
    <mergeCell ref="X65:Z65"/>
    <mergeCell ref="AB65:AD65"/>
    <mergeCell ref="F66:G66"/>
    <mergeCell ref="H66:J66"/>
    <mergeCell ref="L66:N66"/>
    <mergeCell ref="P66:R66"/>
    <mergeCell ref="T66:V66"/>
    <mergeCell ref="X66:Z66"/>
    <mergeCell ref="AB66:AD66"/>
    <mergeCell ref="AF67:AH67"/>
    <mergeCell ref="AJ67:AL67"/>
    <mergeCell ref="AN67:AP67"/>
    <mergeCell ref="AR67:AT67"/>
    <mergeCell ref="AV67:AX67"/>
    <mergeCell ref="AZ67:BB67"/>
    <mergeCell ref="BD67:BF67"/>
    <mergeCell ref="DL67:DN67"/>
    <mergeCell ref="DP67:DR67"/>
    <mergeCell ref="DT67:DV67"/>
    <mergeCell ref="DX67:DZ67"/>
    <mergeCell ref="CJ67:CL67"/>
    <mergeCell ref="CN67:CP67"/>
    <mergeCell ref="CR67:CT67"/>
    <mergeCell ref="CV67:CX67"/>
    <mergeCell ref="CZ67:DB67"/>
    <mergeCell ref="DD67:DF67"/>
    <mergeCell ref="DH67:DJ67"/>
    <mergeCell ref="AF68:AH68"/>
    <mergeCell ref="AJ68:AL68"/>
    <mergeCell ref="AN68:AP68"/>
    <mergeCell ref="AR68:AT68"/>
    <mergeCell ref="AV68:AX68"/>
    <mergeCell ref="AZ68:BB68"/>
    <mergeCell ref="BD68:BF68"/>
    <mergeCell ref="DL68:DN68"/>
    <mergeCell ref="DP68:DR68"/>
    <mergeCell ref="DT68:DV68"/>
    <mergeCell ref="DX68:DZ68"/>
    <mergeCell ref="CJ68:CL68"/>
    <mergeCell ref="CN68:CP68"/>
    <mergeCell ref="CR68:CT68"/>
    <mergeCell ref="CV68:CX68"/>
    <mergeCell ref="CZ68:DB68"/>
    <mergeCell ref="DD68:DF68"/>
    <mergeCell ref="DH68:DJ68"/>
    <mergeCell ref="BH69:BJ69"/>
    <mergeCell ref="BL69:BN69"/>
    <mergeCell ref="BP69:BR69"/>
    <mergeCell ref="BT69:BV69"/>
    <mergeCell ref="BX69:BZ69"/>
    <mergeCell ref="CB69:CD69"/>
    <mergeCell ref="CF69:CH69"/>
    <mergeCell ref="BH70:BJ70"/>
    <mergeCell ref="BL70:BN70"/>
    <mergeCell ref="BP70:BR70"/>
    <mergeCell ref="BT70:BV70"/>
    <mergeCell ref="BX70:BZ70"/>
    <mergeCell ref="CB70:CD70"/>
    <mergeCell ref="CF70:CH70"/>
    <mergeCell ref="F67:G67"/>
    <mergeCell ref="H67:J67"/>
    <mergeCell ref="L67:N67"/>
    <mergeCell ref="P67:R67"/>
    <mergeCell ref="T67:V67"/>
    <mergeCell ref="X67:Z67"/>
    <mergeCell ref="AB67:AD67"/>
    <mergeCell ref="F68:G68"/>
    <mergeCell ref="H68:J68"/>
    <mergeCell ref="L68:N68"/>
    <mergeCell ref="P68:R68"/>
    <mergeCell ref="T68:V68"/>
    <mergeCell ref="X68:Z68"/>
    <mergeCell ref="AB68:AD68"/>
    <mergeCell ref="AF69:AH69"/>
    <mergeCell ref="AJ69:AL69"/>
    <mergeCell ref="AN69:AP69"/>
    <mergeCell ref="AR69:AT69"/>
    <mergeCell ref="AV69:AX69"/>
    <mergeCell ref="AZ69:BB69"/>
    <mergeCell ref="BD69:BF69"/>
    <mergeCell ref="DL69:DN69"/>
    <mergeCell ref="DP69:DR69"/>
    <mergeCell ref="DT69:DV69"/>
    <mergeCell ref="DX69:DZ69"/>
    <mergeCell ref="CJ69:CL69"/>
    <mergeCell ref="CN69:CP69"/>
    <mergeCell ref="CR69:CT69"/>
    <mergeCell ref="CV69:CX69"/>
    <mergeCell ref="CZ69:DB69"/>
    <mergeCell ref="DD69:DF69"/>
    <mergeCell ref="DH69:DJ69"/>
    <mergeCell ref="AF70:AH70"/>
    <mergeCell ref="AJ70:AL70"/>
    <mergeCell ref="AN70:AP70"/>
    <mergeCell ref="AR70:AT70"/>
    <mergeCell ref="AV70:AX70"/>
    <mergeCell ref="AZ70:BB70"/>
    <mergeCell ref="BD70:BF70"/>
    <mergeCell ref="DL70:DN70"/>
    <mergeCell ref="DP70:DR70"/>
    <mergeCell ref="DT70:DV70"/>
    <mergeCell ref="DX70:DZ70"/>
    <mergeCell ref="CJ70:CL70"/>
    <mergeCell ref="CN70:CP70"/>
    <mergeCell ref="CR70:CT70"/>
    <mergeCell ref="CV70:CX70"/>
    <mergeCell ref="CZ70:DB70"/>
    <mergeCell ref="DD70:DF70"/>
    <mergeCell ref="DH70:DJ70"/>
    <mergeCell ref="BH85:BJ85"/>
    <mergeCell ref="BL85:BN85"/>
    <mergeCell ref="BP85:BR85"/>
    <mergeCell ref="BT85:BV85"/>
    <mergeCell ref="BX85:BZ85"/>
    <mergeCell ref="CB85:CD85"/>
    <mergeCell ref="CF85:CH85"/>
    <mergeCell ref="BH86:BJ86"/>
    <mergeCell ref="BL86:BN86"/>
    <mergeCell ref="BP86:BR86"/>
    <mergeCell ref="BT86:BV86"/>
    <mergeCell ref="BX86:BZ86"/>
    <mergeCell ref="CB86:CD86"/>
    <mergeCell ref="CF86:CH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01:G101"/>
    <mergeCell ref="F102:G102"/>
    <mergeCell ref="F103:G103"/>
    <mergeCell ref="F104:G104"/>
    <mergeCell ref="F105:G105"/>
    <mergeCell ref="F106:G106"/>
    <mergeCell ref="F107:G107"/>
    <mergeCell ref="F83:G83"/>
    <mergeCell ref="H83:J83"/>
    <mergeCell ref="L83:N83"/>
    <mergeCell ref="P83:R83"/>
    <mergeCell ref="T83:V83"/>
    <mergeCell ref="X83:Z83"/>
    <mergeCell ref="AB83:AD83"/>
    <mergeCell ref="AF85:AH85"/>
    <mergeCell ref="AJ85:AL85"/>
    <mergeCell ref="AN85:AP85"/>
    <mergeCell ref="AR85:AT85"/>
    <mergeCell ref="AV85:AX85"/>
    <mergeCell ref="AZ85:BB85"/>
    <mergeCell ref="BD85:BF85"/>
    <mergeCell ref="DL85:DN85"/>
    <mergeCell ref="DP85:DR85"/>
    <mergeCell ref="DT85:DV85"/>
    <mergeCell ref="DX85:DZ85"/>
    <mergeCell ref="CJ85:CL85"/>
    <mergeCell ref="CN85:CP85"/>
    <mergeCell ref="CR85:CT85"/>
    <mergeCell ref="CV85:CX85"/>
    <mergeCell ref="CZ85:DB85"/>
    <mergeCell ref="DD85:DF85"/>
    <mergeCell ref="DH85:DJ85"/>
    <mergeCell ref="AF86:AH86"/>
    <mergeCell ref="AJ86:AL86"/>
    <mergeCell ref="AN86:AP86"/>
    <mergeCell ref="AR86:AT86"/>
    <mergeCell ref="AV86:AX86"/>
    <mergeCell ref="AZ86:BB86"/>
    <mergeCell ref="BD86:BF86"/>
    <mergeCell ref="CJ86:CL86"/>
    <mergeCell ref="CN86:CP86"/>
    <mergeCell ref="F84:G84"/>
    <mergeCell ref="H84:J84"/>
    <mergeCell ref="L84:N84"/>
    <mergeCell ref="P84:R84"/>
    <mergeCell ref="T84:V84"/>
    <mergeCell ref="X84:Z84"/>
    <mergeCell ref="AB84:AD84"/>
  </mergeCells>
  <conditionalFormatting sqref="E8:E28">
    <cfRule type="cellIs" dxfId="10" priority="1" operator="lessThanOrEqual">
      <formula>0</formula>
    </cfRule>
  </conditionalFormatting>
  <conditionalFormatting sqref="H2">
    <cfRule type="cellIs" dxfId="11" priority="2" operator="equal">
      <formula>"ok"</formula>
    </cfRule>
  </conditionalFormatting>
  <conditionalFormatting sqref="H2">
    <cfRule type="cellIs" dxfId="10" priority="3" operator="equal">
      <formula>"prüfen"</formula>
    </cfRule>
  </conditionalFormatting>
  <conditionalFormatting sqref="H4">
    <cfRule type="cellIs" dxfId="12" priority="4" operator="equal">
      <formula>"schulfrei"</formula>
    </cfRule>
  </conditionalFormatting>
  <conditionalFormatting sqref="H4">
    <cfRule type="cellIs" dxfId="13" priority="5" operator="equal">
      <formula>"Schule"</formula>
    </cfRule>
  </conditionalFormatting>
  <conditionalFormatting sqref="H6">
    <cfRule type="cellIs" dxfId="0" priority="6" operator="equal">
      <formula>"Sonntag"</formula>
    </cfRule>
  </conditionalFormatting>
  <conditionalFormatting sqref="H6">
    <cfRule type="cellIs" dxfId="1" priority="7" operator="equal">
      <formula>"Samstag"</formula>
    </cfRule>
  </conditionalFormatting>
  <conditionalFormatting sqref="H8:H28 L8:L28">
    <cfRule type="expression" dxfId="10" priority="8">
      <formula>AND(H8&lt;&gt;"K",H8&lt;&gt;"U",H8&lt;&gt;"F",H8&lt;&gt;"FT",H8&lt;&gt;"Ausflug",COUNTIFS(H$8:H$28,H8)&gt;1)</formula>
    </cfRule>
  </conditionalFormatting>
  <conditionalFormatting sqref="H8:H28">
    <cfRule type="cellIs" dxfId="14" priority="9" operator="equal">
      <formula>"Ausflug"</formula>
    </cfRule>
  </conditionalFormatting>
  <conditionalFormatting sqref="H8:H28">
    <cfRule type="cellIs" dxfId="15" priority="10" operator="equal">
      <formula>"F"</formula>
    </cfRule>
  </conditionalFormatting>
  <conditionalFormatting sqref="H8:H28">
    <cfRule type="cellIs" dxfId="1" priority="11" operator="equal">
      <formula>"U"</formula>
    </cfRule>
  </conditionalFormatting>
  <conditionalFormatting sqref="H8:H28">
    <cfRule type="cellIs" dxfId="16" priority="12" operator="equal">
      <formula>"K"</formula>
    </cfRule>
  </conditionalFormatting>
  <conditionalFormatting sqref="H1:EA1">
    <cfRule type="cellIs" dxfId="17" priority="13" operator="equal">
      <formula>"Feiertag"</formula>
    </cfRule>
  </conditionalFormatting>
  <conditionalFormatting sqref="H1:EA1">
    <cfRule type="colorScale" priority="14">
      <colorScale>
        <cfvo type="min"/>
        <cfvo type="max"/>
        <color rgb="FFFF7128"/>
        <color rgb="FFFFEF9C"/>
      </colorScale>
    </cfRule>
  </conditionalFormatting>
  <conditionalFormatting sqref="L2 P2 T2 X2 AB2 AF2 AJ2 AN2 AR2 AV2 AZ2 BD2 BH2 BL2 BP2 BT2 BX2 CB2 CF2 CJ2 CN2 CR2 CV2 CZ2 DD2 DH2 DL2 DP2 DT2 DX2">
    <cfRule type="cellIs" dxfId="11" priority="15" operator="equal">
      <formula>"ok"</formula>
    </cfRule>
  </conditionalFormatting>
  <conditionalFormatting sqref="L2 P2 T2 X2 AB2 AF2 AJ2 AN2 AR2 AV2 AZ2 BD2 BH2 BL2 BP2 BT2 BX2 CB2 CF2 CJ2 CN2 CR2 CV2 CZ2 DD2 DH2 DL2 DP2 DT2 DX2">
    <cfRule type="cellIs" dxfId="10" priority="16" operator="equal">
      <formula>"prüfen"</formula>
    </cfRule>
  </conditionalFormatting>
  <conditionalFormatting sqref="L4">
    <cfRule type="cellIs" dxfId="12" priority="17" operator="equal">
      <formula>"schulfrei"</formula>
    </cfRule>
  </conditionalFormatting>
  <conditionalFormatting sqref="L4">
    <cfRule type="cellIs" dxfId="13" priority="18" operator="equal">
      <formula>"Schule"</formula>
    </cfRule>
  </conditionalFormatting>
  <conditionalFormatting sqref="L6">
    <cfRule type="cellIs" dxfId="0" priority="19" operator="equal">
      <formula>"Sonntag"</formula>
    </cfRule>
  </conditionalFormatting>
  <conditionalFormatting sqref="L6">
    <cfRule type="cellIs" dxfId="1" priority="20" operator="equal">
      <formula>"Samstag"</formula>
    </cfRule>
  </conditionalFormatting>
  <conditionalFormatting sqref="L8:L28">
    <cfRule type="cellIs" dxfId="14" priority="21" operator="equal">
      <formula>"Ausflug"</formula>
    </cfRule>
  </conditionalFormatting>
  <conditionalFormatting sqref="L8:L28">
    <cfRule type="cellIs" dxfId="15" priority="22" operator="equal">
      <formula>"F"</formula>
    </cfRule>
  </conditionalFormatting>
  <conditionalFormatting sqref="L8:L28">
    <cfRule type="cellIs" dxfId="1" priority="23" operator="equal">
      <formula>"U"</formula>
    </cfRule>
  </conditionalFormatting>
  <conditionalFormatting sqref="L8:L28">
    <cfRule type="cellIs" dxfId="16" priority="24" operator="equal">
      <formula>"K"</formula>
    </cfRule>
  </conditionalFormatting>
  <conditionalFormatting sqref="P4">
    <cfRule type="cellIs" dxfId="12" priority="25" operator="equal">
      <formula>"schulfrei"</formula>
    </cfRule>
  </conditionalFormatting>
  <conditionalFormatting sqref="P4">
    <cfRule type="cellIs" dxfId="13" priority="26" operator="equal">
      <formula>"Schule"</formula>
    </cfRule>
  </conditionalFormatting>
  <conditionalFormatting sqref="P6">
    <cfRule type="cellIs" dxfId="0" priority="27" operator="equal">
      <formula>"Sonntag"</formula>
    </cfRule>
  </conditionalFormatting>
  <conditionalFormatting sqref="P6">
    <cfRule type="cellIs" dxfId="1" priority="28" operator="equal">
      <formula>"Samstag"</formula>
    </cfRule>
  </conditionalFormatting>
  <conditionalFormatting sqref="P8:P28">
    <cfRule type="cellIs" dxfId="14" priority="29" operator="equal">
      <formula>"Ausflug"</formula>
    </cfRule>
  </conditionalFormatting>
  <conditionalFormatting sqref="P8:P28">
    <cfRule type="cellIs" dxfId="15" priority="30" operator="equal">
      <formula>"F"</formula>
    </cfRule>
  </conditionalFormatting>
  <conditionalFormatting sqref="P8:P28">
    <cfRule type="cellIs" dxfId="1" priority="31" operator="equal">
      <formula>"U"</formula>
    </cfRule>
  </conditionalFormatting>
  <conditionalFormatting sqref="P8:P28">
    <cfRule type="cellIs" dxfId="16" priority="32" operator="equal">
      <formula>"K"</formula>
    </cfRule>
  </conditionalFormatting>
  <conditionalFormatting sqref="P8:P28">
    <cfRule type="expression" dxfId="10" priority="33">
      <formula>AND(P8&lt;&gt;"K",P8&lt;&gt;"U",P8&lt;&gt;"F",P8&lt;&gt;"FT",P8&lt;&gt;"Ausflug",COUNTIFS(P$8:P$28,P8)&gt;1)</formula>
    </cfRule>
  </conditionalFormatting>
  <conditionalFormatting sqref="T4">
    <cfRule type="cellIs" dxfId="12" priority="34" operator="equal">
      <formula>"schulfrei"</formula>
    </cfRule>
  </conditionalFormatting>
  <conditionalFormatting sqref="T4">
    <cfRule type="cellIs" dxfId="13" priority="35" operator="equal">
      <formula>"Schule"</formula>
    </cfRule>
  </conditionalFormatting>
  <conditionalFormatting sqref="T6">
    <cfRule type="cellIs" dxfId="0" priority="36" operator="equal">
      <formula>"Sonntag"</formula>
    </cfRule>
  </conditionalFormatting>
  <conditionalFormatting sqref="T6">
    <cfRule type="cellIs" dxfId="1" priority="37" operator="equal">
      <formula>"Samstag"</formula>
    </cfRule>
  </conditionalFormatting>
  <conditionalFormatting sqref="T8:T28">
    <cfRule type="cellIs" dxfId="14" priority="38" operator="equal">
      <formula>"Ausflug"</formula>
    </cfRule>
  </conditionalFormatting>
  <conditionalFormatting sqref="T8:T28">
    <cfRule type="cellIs" dxfId="15" priority="39" operator="equal">
      <formula>"F"</formula>
    </cfRule>
  </conditionalFormatting>
  <conditionalFormatting sqref="T8:T28">
    <cfRule type="cellIs" dxfId="1" priority="40" operator="equal">
      <formula>"U"</formula>
    </cfRule>
  </conditionalFormatting>
  <conditionalFormatting sqref="T8:T28">
    <cfRule type="cellIs" dxfId="16" priority="41" operator="equal">
      <formula>"K"</formula>
    </cfRule>
  </conditionalFormatting>
  <conditionalFormatting sqref="T8:T28">
    <cfRule type="expression" dxfId="10" priority="42">
      <formula>AND(T8&lt;&gt;"K",T8&lt;&gt;"U",T8&lt;&gt;"F",T8&lt;&gt;"FT",T8&lt;&gt;"Ausflug",COUNTIFS(T$8:T$28,T8)&gt;1)</formula>
    </cfRule>
  </conditionalFormatting>
  <conditionalFormatting sqref="X4">
    <cfRule type="cellIs" dxfId="12" priority="43" operator="equal">
      <formula>"schulfrei"</formula>
    </cfRule>
  </conditionalFormatting>
  <conditionalFormatting sqref="X4">
    <cfRule type="cellIs" dxfId="13" priority="44" operator="equal">
      <formula>"Schule"</formula>
    </cfRule>
  </conditionalFormatting>
  <conditionalFormatting sqref="X6">
    <cfRule type="cellIs" dxfId="0" priority="45" operator="equal">
      <formula>"Sonntag"</formula>
    </cfRule>
  </conditionalFormatting>
  <conditionalFormatting sqref="X6">
    <cfRule type="cellIs" dxfId="1" priority="46" operator="equal">
      <formula>"Samstag"</formula>
    </cfRule>
  </conditionalFormatting>
  <conditionalFormatting sqref="X8:X28">
    <cfRule type="cellIs" dxfId="14" priority="47" operator="equal">
      <formula>"Ausflug"</formula>
    </cfRule>
  </conditionalFormatting>
  <conditionalFormatting sqref="X8:X28">
    <cfRule type="cellIs" dxfId="15" priority="48" operator="equal">
      <formula>"F"</formula>
    </cfRule>
  </conditionalFormatting>
  <conditionalFormatting sqref="X8:X28">
    <cfRule type="cellIs" dxfId="1" priority="49" operator="equal">
      <formula>"U"</formula>
    </cfRule>
  </conditionalFormatting>
  <conditionalFormatting sqref="X8:X28">
    <cfRule type="cellIs" dxfId="16" priority="50" operator="equal">
      <formula>"K"</formula>
    </cfRule>
  </conditionalFormatting>
  <conditionalFormatting sqref="X8:X28">
    <cfRule type="expression" dxfId="10" priority="51">
      <formula>AND(X8&lt;&gt;"K",X8&lt;&gt;"U",X8&lt;&gt;"F",X8&lt;&gt;"FT",X8&lt;&gt;"Ausflug",COUNTIFS(X$8:X$28,X8)&gt;1)</formula>
    </cfRule>
  </conditionalFormatting>
  <conditionalFormatting sqref="AB4">
    <cfRule type="cellIs" dxfId="12" priority="52" operator="equal">
      <formula>"schulfrei"</formula>
    </cfRule>
  </conditionalFormatting>
  <conditionalFormatting sqref="AB4">
    <cfRule type="cellIs" dxfId="13" priority="53" operator="equal">
      <formula>"Schule"</formula>
    </cfRule>
  </conditionalFormatting>
  <conditionalFormatting sqref="AB6">
    <cfRule type="cellIs" dxfId="0" priority="54" operator="equal">
      <formula>"Sonntag"</formula>
    </cfRule>
  </conditionalFormatting>
  <conditionalFormatting sqref="AB6">
    <cfRule type="cellIs" dxfId="1" priority="55" operator="equal">
      <formula>"Samstag"</formula>
    </cfRule>
  </conditionalFormatting>
  <conditionalFormatting sqref="AB8:AB28">
    <cfRule type="cellIs" dxfId="14" priority="56" operator="equal">
      <formula>"Ausflug"</formula>
    </cfRule>
  </conditionalFormatting>
  <conditionalFormatting sqref="AB8:AB28">
    <cfRule type="cellIs" dxfId="15" priority="57" operator="equal">
      <formula>"F"</formula>
    </cfRule>
  </conditionalFormatting>
  <conditionalFormatting sqref="AB8:AB28">
    <cfRule type="cellIs" dxfId="1" priority="58" operator="equal">
      <formula>"U"</formula>
    </cfRule>
  </conditionalFormatting>
  <conditionalFormatting sqref="AB8:AB28">
    <cfRule type="cellIs" dxfId="16" priority="59" operator="equal">
      <formula>"K"</formula>
    </cfRule>
  </conditionalFormatting>
  <conditionalFormatting sqref="AB8:AB28">
    <cfRule type="expression" dxfId="10" priority="60">
      <formula>AND(AB8&lt;&gt;"K",AB8&lt;&gt;"U",AB8&lt;&gt;"F",AB8&lt;&gt;"FT",AB8&lt;&gt;"Ausflug",COUNTIFS(AB$8:AB$28,AB8)&gt;1)</formula>
    </cfRule>
  </conditionalFormatting>
  <conditionalFormatting sqref="AF4">
    <cfRule type="cellIs" dxfId="12" priority="61" operator="equal">
      <formula>"schulfrei"</formula>
    </cfRule>
  </conditionalFormatting>
  <conditionalFormatting sqref="AF4">
    <cfRule type="cellIs" dxfId="13" priority="62" operator="equal">
      <formula>"Schule"</formula>
    </cfRule>
  </conditionalFormatting>
  <conditionalFormatting sqref="AF6">
    <cfRule type="cellIs" dxfId="0" priority="63" operator="equal">
      <formula>"Sonntag"</formula>
    </cfRule>
  </conditionalFormatting>
  <conditionalFormatting sqref="AF6">
    <cfRule type="cellIs" dxfId="1" priority="64" operator="equal">
      <formula>"Samstag"</formula>
    </cfRule>
  </conditionalFormatting>
  <conditionalFormatting sqref="AF8:AF28">
    <cfRule type="cellIs" dxfId="14" priority="65" operator="equal">
      <formula>"Ausflug"</formula>
    </cfRule>
  </conditionalFormatting>
  <conditionalFormatting sqref="AF8:AF28">
    <cfRule type="cellIs" dxfId="15" priority="66" operator="equal">
      <formula>"F"</formula>
    </cfRule>
  </conditionalFormatting>
  <conditionalFormatting sqref="AF8:AF28">
    <cfRule type="cellIs" dxfId="1" priority="67" operator="equal">
      <formula>"U"</formula>
    </cfRule>
  </conditionalFormatting>
  <conditionalFormatting sqref="AF8:AF28">
    <cfRule type="cellIs" dxfId="16" priority="68" operator="equal">
      <formula>"K"</formula>
    </cfRule>
  </conditionalFormatting>
  <conditionalFormatting sqref="AF8:AF28">
    <cfRule type="expression" dxfId="10" priority="69">
      <formula>AND(AF8&lt;&gt;"K",AF8&lt;&gt;"U",AF8&lt;&gt;"F",AF8&lt;&gt;"FT",AF8&lt;&gt;"Ausflug",COUNTIFS(AF$8:AF$28,AF8)&gt;1)</formula>
    </cfRule>
  </conditionalFormatting>
  <conditionalFormatting sqref="AJ4">
    <cfRule type="cellIs" dxfId="12" priority="70" operator="equal">
      <formula>"schulfrei"</formula>
    </cfRule>
  </conditionalFormatting>
  <conditionalFormatting sqref="AJ4">
    <cfRule type="cellIs" dxfId="13" priority="71" operator="equal">
      <formula>"Schule"</formula>
    </cfRule>
  </conditionalFormatting>
  <conditionalFormatting sqref="AJ6">
    <cfRule type="cellIs" dxfId="0" priority="72" operator="equal">
      <formula>"Sonntag"</formula>
    </cfRule>
  </conditionalFormatting>
  <conditionalFormatting sqref="AJ6">
    <cfRule type="cellIs" dxfId="1" priority="73" operator="equal">
      <formula>"Samstag"</formula>
    </cfRule>
  </conditionalFormatting>
  <conditionalFormatting sqref="AJ8:AJ28">
    <cfRule type="cellIs" dxfId="14" priority="74" operator="equal">
      <formula>"Ausflug"</formula>
    </cfRule>
  </conditionalFormatting>
  <conditionalFormatting sqref="AJ8:AJ28">
    <cfRule type="cellIs" dxfId="15" priority="75" operator="equal">
      <formula>"F"</formula>
    </cfRule>
  </conditionalFormatting>
  <conditionalFormatting sqref="AJ8:AJ28">
    <cfRule type="cellIs" dxfId="1" priority="76" operator="equal">
      <formula>"U"</formula>
    </cfRule>
  </conditionalFormatting>
  <conditionalFormatting sqref="AJ8:AJ28">
    <cfRule type="cellIs" dxfId="16" priority="77" operator="equal">
      <formula>"K"</formula>
    </cfRule>
  </conditionalFormatting>
  <conditionalFormatting sqref="AJ8:AJ28">
    <cfRule type="expression" dxfId="10" priority="78">
      <formula>AND(AJ8&lt;&gt;"K",AJ8&lt;&gt;"U",AJ8&lt;&gt;"F",AJ8&lt;&gt;"FT",AJ8&lt;&gt;"Ausflug",COUNTIFS(AJ$8:AJ$28,AJ8)&gt;1)</formula>
    </cfRule>
  </conditionalFormatting>
  <conditionalFormatting sqref="AN4">
    <cfRule type="cellIs" dxfId="12" priority="79" operator="equal">
      <formula>"schulfrei"</formula>
    </cfRule>
  </conditionalFormatting>
  <conditionalFormatting sqref="AN4">
    <cfRule type="cellIs" dxfId="13" priority="80" operator="equal">
      <formula>"Schule"</formula>
    </cfRule>
  </conditionalFormatting>
  <conditionalFormatting sqref="AN6">
    <cfRule type="cellIs" dxfId="0" priority="81" operator="equal">
      <formula>"Sonntag"</formula>
    </cfRule>
  </conditionalFormatting>
  <conditionalFormatting sqref="AN6">
    <cfRule type="cellIs" dxfId="1" priority="82" operator="equal">
      <formula>"Samstag"</formula>
    </cfRule>
  </conditionalFormatting>
  <conditionalFormatting sqref="AN8:AN28">
    <cfRule type="cellIs" dxfId="14" priority="83" operator="equal">
      <formula>"Ausflug"</formula>
    </cfRule>
  </conditionalFormatting>
  <conditionalFormatting sqref="AN8:AN28">
    <cfRule type="cellIs" dxfId="15" priority="84" operator="equal">
      <formula>"F"</formula>
    </cfRule>
  </conditionalFormatting>
  <conditionalFormatting sqref="AN8:AN28">
    <cfRule type="cellIs" dxfId="1" priority="85" operator="equal">
      <formula>"U"</formula>
    </cfRule>
  </conditionalFormatting>
  <conditionalFormatting sqref="AN8:AN28">
    <cfRule type="cellIs" dxfId="16" priority="86" operator="equal">
      <formula>"K"</formula>
    </cfRule>
  </conditionalFormatting>
  <conditionalFormatting sqref="AN8:AN28">
    <cfRule type="expression" dxfId="10" priority="87">
      <formula>AND(AN8&lt;&gt;"K",AN8&lt;&gt;"U",AN8&lt;&gt;"F",AN8&lt;&gt;"FT",AN8&lt;&gt;"Ausflug",COUNTIFS(AN$8:AN$28,AN8)&gt;1)</formula>
    </cfRule>
  </conditionalFormatting>
  <conditionalFormatting sqref="AR4">
    <cfRule type="cellIs" dxfId="12" priority="88" operator="equal">
      <formula>"schulfrei"</formula>
    </cfRule>
  </conditionalFormatting>
  <conditionalFormatting sqref="AR4">
    <cfRule type="cellIs" dxfId="13" priority="89" operator="equal">
      <formula>"Schule"</formula>
    </cfRule>
  </conditionalFormatting>
  <conditionalFormatting sqref="AR6">
    <cfRule type="cellIs" dxfId="0" priority="90" operator="equal">
      <formula>"Sonntag"</formula>
    </cfRule>
  </conditionalFormatting>
  <conditionalFormatting sqref="AR6">
    <cfRule type="cellIs" dxfId="1" priority="91" operator="equal">
      <formula>"Samstag"</formula>
    </cfRule>
  </conditionalFormatting>
  <conditionalFormatting sqref="AR8:AR28">
    <cfRule type="cellIs" dxfId="14" priority="92" operator="equal">
      <formula>"Ausflug"</formula>
    </cfRule>
  </conditionalFormatting>
  <conditionalFormatting sqref="AR8:AR28">
    <cfRule type="cellIs" dxfId="15" priority="93" operator="equal">
      <formula>"F"</formula>
    </cfRule>
  </conditionalFormatting>
  <conditionalFormatting sqref="AR8:AR28">
    <cfRule type="cellIs" dxfId="1" priority="94" operator="equal">
      <formula>"U"</formula>
    </cfRule>
  </conditionalFormatting>
  <conditionalFormatting sqref="AR8:AR28">
    <cfRule type="cellIs" dxfId="16" priority="95" operator="equal">
      <formula>"K"</formula>
    </cfRule>
  </conditionalFormatting>
  <conditionalFormatting sqref="AR8:AR28">
    <cfRule type="expression" dxfId="10" priority="96">
      <formula>AND(AR8&lt;&gt;"K",AR8&lt;&gt;"U",AR8&lt;&gt;"F",AR8&lt;&gt;"FT",AR8&lt;&gt;"Ausflug",COUNTIFS(AR$8:AR$28,AR8)&gt;1)</formula>
    </cfRule>
  </conditionalFormatting>
  <conditionalFormatting sqref="AV4">
    <cfRule type="cellIs" dxfId="12" priority="97" operator="equal">
      <formula>"schulfrei"</formula>
    </cfRule>
  </conditionalFormatting>
  <conditionalFormatting sqref="AV4">
    <cfRule type="cellIs" dxfId="13" priority="98" operator="equal">
      <formula>"Schule"</formula>
    </cfRule>
  </conditionalFormatting>
  <conditionalFormatting sqref="AV6">
    <cfRule type="cellIs" dxfId="0" priority="99" operator="equal">
      <formula>"Sonntag"</formula>
    </cfRule>
  </conditionalFormatting>
  <conditionalFormatting sqref="AV6">
    <cfRule type="cellIs" dxfId="1" priority="100" operator="equal">
      <formula>"Samstag"</formula>
    </cfRule>
  </conditionalFormatting>
  <conditionalFormatting sqref="AV8:AV28">
    <cfRule type="cellIs" dxfId="14" priority="101" operator="equal">
      <formula>"Ausflug"</formula>
    </cfRule>
  </conditionalFormatting>
  <conditionalFormatting sqref="AV8:AV28">
    <cfRule type="cellIs" dxfId="15" priority="102" operator="equal">
      <formula>"F"</formula>
    </cfRule>
  </conditionalFormatting>
  <conditionalFormatting sqref="AV8:AV28">
    <cfRule type="cellIs" dxfId="1" priority="103" operator="equal">
      <formula>"U"</formula>
    </cfRule>
  </conditionalFormatting>
  <conditionalFormatting sqref="AV8:AV28">
    <cfRule type="cellIs" dxfId="16" priority="104" operator="equal">
      <formula>"K"</formula>
    </cfRule>
  </conditionalFormatting>
  <conditionalFormatting sqref="AV8:AV28">
    <cfRule type="expression" dxfId="10" priority="105">
      <formula>AND(AV8&lt;&gt;"K",AV8&lt;&gt;"U",AV8&lt;&gt;"F",AV8&lt;&gt;"FT",AV8&lt;&gt;"Ausflug",COUNTIFS(AV$8:AV$28,AV8)&gt;1)</formula>
    </cfRule>
  </conditionalFormatting>
  <conditionalFormatting sqref="AZ4">
    <cfRule type="cellIs" dxfId="12" priority="106" operator="equal">
      <formula>"schulfrei"</formula>
    </cfRule>
  </conditionalFormatting>
  <conditionalFormatting sqref="AZ4">
    <cfRule type="cellIs" dxfId="13" priority="107" operator="equal">
      <formula>"Schule"</formula>
    </cfRule>
  </conditionalFormatting>
  <conditionalFormatting sqref="AZ6">
    <cfRule type="cellIs" dxfId="0" priority="108" operator="equal">
      <formula>"Sonntag"</formula>
    </cfRule>
  </conditionalFormatting>
  <conditionalFormatting sqref="AZ6">
    <cfRule type="cellIs" dxfId="1" priority="109" operator="equal">
      <formula>"Samstag"</formula>
    </cfRule>
  </conditionalFormatting>
  <conditionalFormatting sqref="AZ8:AZ28">
    <cfRule type="cellIs" dxfId="14" priority="110" operator="equal">
      <formula>"Ausflug"</formula>
    </cfRule>
  </conditionalFormatting>
  <conditionalFormatting sqref="AZ8:AZ28">
    <cfRule type="cellIs" dxfId="15" priority="111" operator="equal">
      <formula>"F"</formula>
    </cfRule>
  </conditionalFormatting>
  <conditionalFormatting sqref="AZ8:AZ28">
    <cfRule type="cellIs" dxfId="1" priority="112" operator="equal">
      <formula>"U"</formula>
    </cfRule>
  </conditionalFormatting>
  <conditionalFormatting sqref="AZ8:AZ28">
    <cfRule type="cellIs" dxfId="16" priority="113" operator="equal">
      <formula>"K"</formula>
    </cfRule>
  </conditionalFormatting>
  <conditionalFormatting sqref="AZ8:AZ28">
    <cfRule type="expression" dxfId="10" priority="114">
      <formula>AND(AZ8&lt;&gt;"K",AZ8&lt;&gt;"U",AZ8&lt;&gt;"F",AZ8&lt;&gt;"FT",AZ8&lt;&gt;"Ausflug",COUNTIFS(AZ$8:AZ$28,AZ8)&gt;1)</formula>
    </cfRule>
  </conditionalFormatting>
  <conditionalFormatting sqref="BD4">
    <cfRule type="cellIs" dxfId="12" priority="115" operator="equal">
      <formula>"schulfrei"</formula>
    </cfRule>
  </conditionalFormatting>
  <conditionalFormatting sqref="BD4">
    <cfRule type="cellIs" dxfId="13" priority="116" operator="equal">
      <formula>"Schule"</formula>
    </cfRule>
  </conditionalFormatting>
  <conditionalFormatting sqref="BD6">
    <cfRule type="cellIs" dxfId="0" priority="117" operator="equal">
      <formula>"Sonntag"</formula>
    </cfRule>
  </conditionalFormatting>
  <conditionalFormatting sqref="BD6">
    <cfRule type="cellIs" dxfId="1" priority="118" operator="equal">
      <formula>"Samstag"</formula>
    </cfRule>
  </conditionalFormatting>
  <conditionalFormatting sqref="BD8:BD28">
    <cfRule type="cellIs" dxfId="14" priority="119" operator="equal">
      <formula>"Ausflug"</formula>
    </cfRule>
  </conditionalFormatting>
  <conditionalFormatting sqref="BD8:BD28">
    <cfRule type="cellIs" dxfId="15" priority="120" operator="equal">
      <formula>"F"</formula>
    </cfRule>
  </conditionalFormatting>
  <conditionalFormatting sqref="BD8:BD28">
    <cfRule type="cellIs" dxfId="1" priority="121" operator="equal">
      <formula>"U"</formula>
    </cfRule>
  </conditionalFormatting>
  <conditionalFormatting sqref="BD8:BD28">
    <cfRule type="cellIs" dxfId="16" priority="122" operator="equal">
      <formula>"K"</formula>
    </cfRule>
  </conditionalFormatting>
  <conditionalFormatting sqref="BD8:BD28">
    <cfRule type="expression" dxfId="10" priority="123">
      <formula>AND(BD8&lt;&gt;"K",BD8&lt;&gt;"U",BD8&lt;&gt;"F",BD8&lt;&gt;"FT",BD8&lt;&gt;"Ausflug",COUNTIFS(BD$8:BD$28,BD8)&gt;1)</formula>
    </cfRule>
  </conditionalFormatting>
  <conditionalFormatting sqref="BH4">
    <cfRule type="cellIs" dxfId="12" priority="124" operator="equal">
      <formula>"schulfrei"</formula>
    </cfRule>
  </conditionalFormatting>
  <conditionalFormatting sqref="BH4">
    <cfRule type="cellIs" dxfId="13" priority="125" operator="equal">
      <formula>"Schule"</formula>
    </cfRule>
  </conditionalFormatting>
  <conditionalFormatting sqref="BH6">
    <cfRule type="cellIs" dxfId="0" priority="126" operator="equal">
      <formula>"Sonntag"</formula>
    </cfRule>
  </conditionalFormatting>
  <conditionalFormatting sqref="BH6">
    <cfRule type="cellIs" dxfId="1" priority="127" operator="equal">
      <formula>"Samstag"</formula>
    </cfRule>
  </conditionalFormatting>
  <conditionalFormatting sqref="BH8:BH28">
    <cfRule type="cellIs" dxfId="14" priority="128" operator="equal">
      <formula>"Ausflug"</formula>
    </cfRule>
  </conditionalFormatting>
  <conditionalFormatting sqref="BH8:BH28">
    <cfRule type="cellIs" dxfId="15" priority="129" operator="equal">
      <formula>"F"</formula>
    </cfRule>
  </conditionalFormatting>
  <conditionalFormatting sqref="BH8:BH28">
    <cfRule type="cellIs" dxfId="1" priority="130" operator="equal">
      <formula>"U"</formula>
    </cfRule>
  </conditionalFormatting>
  <conditionalFormatting sqref="BH8:BH28">
    <cfRule type="cellIs" dxfId="16" priority="131" operator="equal">
      <formula>"K"</formula>
    </cfRule>
  </conditionalFormatting>
  <conditionalFormatting sqref="BH8:BH28">
    <cfRule type="expression" dxfId="10" priority="132">
      <formula>AND(BH8&lt;&gt;"K",BH8&lt;&gt;"U",BH8&lt;&gt;"F",BH8&lt;&gt;"FT",BH8&lt;&gt;"Ausflug",COUNTIFS(BH$8:BH$28,BH8)&gt;1)</formula>
    </cfRule>
  </conditionalFormatting>
  <conditionalFormatting sqref="BL4">
    <cfRule type="cellIs" dxfId="12" priority="133" operator="equal">
      <formula>"schulfrei"</formula>
    </cfRule>
  </conditionalFormatting>
  <conditionalFormatting sqref="BL4">
    <cfRule type="cellIs" dxfId="13" priority="134" operator="equal">
      <formula>"Schule"</formula>
    </cfRule>
  </conditionalFormatting>
  <conditionalFormatting sqref="BL6">
    <cfRule type="cellIs" dxfId="0" priority="135" operator="equal">
      <formula>"Sonntag"</formula>
    </cfRule>
  </conditionalFormatting>
  <conditionalFormatting sqref="BL6">
    <cfRule type="cellIs" dxfId="1" priority="136" operator="equal">
      <formula>"Samstag"</formula>
    </cfRule>
  </conditionalFormatting>
  <conditionalFormatting sqref="BL8:BL28">
    <cfRule type="cellIs" dxfId="14" priority="137" operator="equal">
      <formula>"Ausflug"</formula>
    </cfRule>
  </conditionalFormatting>
  <conditionalFormatting sqref="BL8:BL28">
    <cfRule type="cellIs" dxfId="15" priority="138" operator="equal">
      <formula>"F"</formula>
    </cfRule>
  </conditionalFormatting>
  <conditionalFormatting sqref="BL8:BL28">
    <cfRule type="cellIs" dxfId="1" priority="139" operator="equal">
      <formula>"U"</formula>
    </cfRule>
  </conditionalFormatting>
  <conditionalFormatting sqref="BL8:BL28">
    <cfRule type="cellIs" dxfId="16" priority="140" operator="equal">
      <formula>"K"</formula>
    </cfRule>
  </conditionalFormatting>
  <conditionalFormatting sqref="BL8:BL28">
    <cfRule type="expression" dxfId="10" priority="141">
      <formula>AND(BL8&lt;&gt;"K",BL8&lt;&gt;"U",BL8&lt;&gt;"F",BL8&lt;&gt;"FT",BL8&lt;&gt;"Ausflug",COUNTIFS(BL$8:BL$28,BL8)&gt;1)</formula>
    </cfRule>
  </conditionalFormatting>
  <conditionalFormatting sqref="BP4">
    <cfRule type="cellIs" dxfId="12" priority="142" operator="equal">
      <formula>"schulfrei"</formula>
    </cfRule>
  </conditionalFormatting>
  <conditionalFormatting sqref="BP4">
    <cfRule type="cellIs" dxfId="13" priority="143" operator="equal">
      <formula>"Schule"</formula>
    </cfRule>
  </conditionalFormatting>
  <conditionalFormatting sqref="BP6">
    <cfRule type="cellIs" dxfId="0" priority="144" operator="equal">
      <formula>"Sonntag"</formula>
    </cfRule>
  </conditionalFormatting>
  <conditionalFormatting sqref="BP6">
    <cfRule type="cellIs" dxfId="1" priority="145" operator="equal">
      <formula>"Samstag"</formula>
    </cfRule>
  </conditionalFormatting>
  <conditionalFormatting sqref="BP8:BP28">
    <cfRule type="cellIs" dxfId="14" priority="146" operator="equal">
      <formula>"Ausflug"</formula>
    </cfRule>
  </conditionalFormatting>
  <conditionalFormatting sqref="BP8:BP28">
    <cfRule type="cellIs" dxfId="15" priority="147" operator="equal">
      <formula>"F"</formula>
    </cfRule>
  </conditionalFormatting>
  <conditionalFormatting sqref="BP8:BP28">
    <cfRule type="cellIs" dxfId="1" priority="148" operator="equal">
      <formula>"U"</formula>
    </cfRule>
  </conditionalFormatting>
  <conditionalFormatting sqref="BP8:BP28">
    <cfRule type="cellIs" dxfId="16" priority="149" operator="equal">
      <formula>"K"</formula>
    </cfRule>
  </conditionalFormatting>
  <conditionalFormatting sqref="BP8:BP28">
    <cfRule type="expression" dxfId="10" priority="150">
      <formula>AND(BP8&lt;&gt;"K",BP8&lt;&gt;"U",BP8&lt;&gt;"F",BP8&lt;&gt;"FT",BP8&lt;&gt;"Ausflug",COUNTIFS(BP$8:BP$28,BP8)&gt;1)</formula>
    </cfRule>
  </conditionalFormatting>
  <conditionalFormatting sqref="BT4">
    <cfRule type="cellIs" dxfId="12" priority="151" operator="equal">
      <formula>"schulfrei"</formula>
    </cfRule>
  </conditionalFormatting>
  <conditionalFormatting sqref="BT4">
    <cfRule type="cellIs" dxfId="13" priority="152" operator="equal">
      <formula>"Schule"</formula>
    </cfRule>
  </conditionalFormatting>
  <conditionalFormatting sqref="BT6">
    <cfRule type="cellIs" dxfId="0" priority="153" operator="equal">
      <formula>"Sonntag"</formula>
    </cfRule>
  </conditionalFormatting>
  <conditionalFormatting sqref="BT6">
    <cfRule type="cellIs" dxfId="1" priority="154" operator="equal">
      <formula>"Samstag"</formula>
    </cfRule>
  </conditionalFormatting>
  <conditionalFormatting sqref="BT8:BT28">
    <cfRule type="cellIs" dxfId="14" priority="155" operator="equal">
      <formula>"Ausflug"</formula>
    </cfRule>
  </conditionalFormatting>
  <conditionalFormatting sqref="BT8:BT28">
    <cfRule type="cellIs" dxfId="15" priority="156" operator="equal">
      <formula>"F"</formula>
    </cfRule>
  </conditionalFormatting>
  <conditionalFormatting sqref="BT8:BT28">
    <cfRule type="cellIs" dxfId="1" priority="157" operator="equal">
      <formula>"U"</formula>
    </cfRule>
  </conditionalFormatting>
  <conditionalFormatting sqref="BT8:BT28">
    <cfRule type="cellIs" dxfId="16" priority="158" operator="equal">
      <formula>"K"</formula>
    </cfRule>
  </conditionalFormatting>
  <conditionalFormatting sqref="BT8:BT28">
    <cfRule type="expression" dxfId="10" priority="159">
      <formula>AND(BT8&lt;&gt;"K",BT8&lt;&gt;"U",BT8&lt;&gt;"F",BT8&lt;&gt;"FT",BT8&lt;&gt;"Ausflug",COUNTIFS(BT$8:BT$28,BT8)&gt;1)</formula>
    </cfRule>
  </conditionalFormatting>
  <conditionalFormatting sqref="BX4">
    <cfRule type="cellIs" dxfId="12" priority="160" operator="equal">
      <formula>"schulfrei"</formula>
    </cfRule>
  </conditionalFormatting>
  <conditionalFormatting sqref="BX4">
    <cfRule type="cellIs" dxfId="13" priority="161" operator="equal">
      <formula>"Schule"</formula>
    </cfRule>
  </conditionalFormatting>
  <conditionalFormatting sqref="BX6">
    <cfRule type="cellIs" dxfId="0" priority="162" operator="equal">
      <formula>"Sonntag"</formula>
    </cfRule>
  </conditionalFormatting>
  <conditionalFormatting sqref="BX6">
    <cfRule type="cellIs" dxfId="1" priority="163" operator="equal">
      <formula>"Samstag"</formula>
    </cfRule>
  </conditionalFormatting>
  <conditionalFormatting sqref="BX8:BX28">
    <cfRule type="cellIs" dxfId="14" priority="164" operator="equal">
      <formula>"Ausflug"</formula>
    </cfRule>
  </conditionalFormatting>
  <conditionalFormatting sqref="BX8:BX28">
    <cfRule type="cellIs" dxfId="15" priority="165" operator="equal">
      <formula>"F"</formula>
    </cfRule>
  </conditionalFormatting>
  <conditionalFormatting sqref="BX8:BX28">
    <cfRule type="cellIs" dxfId="1" priority="166" operator="equal">
      <formula>"U"</formula>
    </cfRule>
  </conditionalFormatting>
  <conditionalFormatting sqref="BX8:BX28">
    <cfRule type="cellIs" dxfId="16" priority="167" operator="equal">
      <formula>"K"</formula>
    </cfRule>
  </conditionalFormatting>
  <conditionalFormatting sqref="BX8:BX28">
    <cfRule type="expression" dxfId="10" priority="168">
      <formula>AND(BX8&lt;&gt;"K",BX8&lt;&gt;"U",BX8&lt;&gt;"F",BX8&lt;&gt;"FT",BX8&lt;&gt;"Ausflug",COUNTIFS(BX$8:BX$28,BX8)&gt;1)</formula>
    </cfRule>
  </conditionalFormatting>
  <conditionalFormatting sqref="CB4">
    <cfRule type="cellIs" dxfId="12" priority="169" operator="equal">
      <formula>"schulfrei"</formula>
    </cfRule>
  </conditionalFormatting>
  <conditionalFormatting sqref="CB4">
    <cfRule type="cellIs" dxfId="13" priority="170" operator="equal">
      <formula>"Schule"</formula>
    </cfRule>
  </conditionalFormatting>
  <conditionalFormatting sqref="CB6">
    <cfRule type="cellIs" dxfId="0" priority="171" operator="equal">
      <formula>"Sonntag"</formula>
    </cfRule>
  </conditionalFormatting>
  <conditionalFormatting sqref="CB6">
    <cfRule type="cellIs" dxfId="1" priority="172" operator="equal">
      <formula>"Samstag"</formula>
    </cfRule>
  </conditionalFormatting>
  <conditionalFormatting sqref="CB8:CB28">
    <cfRule type="cellIs" dxfId="14" priority="173" operator="equal">
      <formula>"Ausflug"</formula>
    </cfRule>
  </conditionalFormatting>
  <conditionalFormatting sqref="CB8:CB28">
    <cfRule type="cellIs" dxfId="15" priority="174" operator="equal">
      <formula>"F"</formula>
    </cfRule>
  </conditionalFormatting>
  <conditionalFormatting sqref="CB8:CB28">
    <cfRule type="cellIs" dxfId="1" priority="175" operator="equal">
      <formula>"U"</formula>
    </cfRule>
  </conditionalFormatting>
  <conditionalFormatting sqref="CB8:CB28">
    <cfRule type="cellIs" dxfId="16" priority="176" operator="equal">
      <formula>"K"</formula>
    </cfRule>
  </conditionalFormatting>
  <conditionalFormatting sqref="CB8:CB28">
    <cfRule type="expression" dxfId="10" priority="177">
      <formula>AND(CB8&lt;&gt;"K",CB8&lt;&gt;"U",CB8&lt;&gt;"F",CB8&lt;&gt;"FT",CB8&lt;&gt;"Ausflug",COUNTIFS(CB$8:CB$28,CB8)&gt;1)</formula>
    </cfRule>
  </conditionalFormatting>
  <conditionalFormatting sqref="CF4">
    <cfRule type="cellIs" dxfId="12" priority="178" operator="equal">
      <formula>"schulfrei"</formula>
    </cfRule>
  </conditionalFormatting>
  <conditionalFormatting sqref="CF4">
    <cfRule type="cellIs" dxfId="13" priority="179" operator="equal">
      <formula>"Schule"</formula>
    </cfRule>
  </conditionalFormatting>
  <conditionalFormatting sqref="CF6">
    <cfRule type="cellIs" dxfId="0" priority="180" operator="equal">
      <formula>"Sonntag"</formula>
    </cfRule>
  </conditionalFormatting>
  <conditionalFormatting sqref="CF6">
    <cfRule type="cellIs" dxfId="1" priority="181" operator="equal">
      <formula>"Samstag"</formula>
    </cfRule>
  </conditionalFormatting>
  <conditionalFormatting sqref="CF8:CF28">
    <cfRule type="cellIs" dxfId="14" priority="182" operator="equal">
      <formula>"Ausflug"</formula>
    </cfRule>
  </conditionalFormatting>
  <conditionalFormatting sqref="CF8:CF28">
    <cfRule type="cellIs" dxfId="15" priority="183" operator="equal">
      <formula>"F"</formula>
    </cfRule>
  </conditionalFormatting>
  <conditionalFormatting sqref="CF8:CF28">
    <cfRule type="cellIs" dxfId="1" priority="184" operator="equal">
      <formula>"U"</formula>
    </cfRule>
  </conditionalFormatting>
  <conditionalFormatting sqref="CF8:CF28">
    <cfRule type="cellIs" dxfId="16" priority="185" operator="equal">
      <formula>"K"</formula>
    </cfRule>
  </conditionalFormatting>
  <conditionalFormatting sqref="CF8:CF28">
    <cfRule type="expression" dxfId="10" priority="186">
      <formula>AND(CF8&lt;&gt;"K",CF8&lt;&gt;"U",CF8&lt;&gt;"F",CF8&lt;&gt;"FT",CF8&lt;&gt;"Ausflug",COUNTIFS(CF$8:CF$28,CF8)&gt;1)</formula>
    </cfRule>
  </conditionalFormatting>
  <conditionalFormatting sqref="CJ4">
    <cfRule type="cellIs" dxfId="12" priority="187" operator="equal">
      <formula>"schulfrei"</formula>
    </cfRule>
  </conditionalFormatting>
  <conditionalFormatting sqref="CJ4">
    <cfRule type="cellIs" dxfId="13" priority="188" operator="equal">
      <formula>"Schule"</formula>
    </cfRule>
  </conditionalFormatting>
  <conditionalFormatting sqref="CJ6">
    <cfRule type="cellIs" dxfId="0" priority="189" operator="equal">
      <formula>"Sonntag"</formula>
    </cfRule>
  </conditionalFormatting>
  <conditionalFormatting sqref="CJ6">
    <cfRule type="cellIs" dxfId="1" priority="190" operator="equal">
      <formula>"Samstag"</formula>
    </cfRule>
  </conditionalFormatting>
  <conditionalFormatting sqref="CJ8:CJ28">
    <cfRule type="cellIs" dxfId="14" priority="191" operator="equal">
      <formula>"Ausflug"</formula>
    </cfRule>
  </conditionalFormatting>
  <conditionalFormatting sqref="CJ8:CJ28">
    <cfRule type="cellIs" dxfId="15" priority="192" operator="equal">
      <formula>"F"</formula>
    </cfRule>
  </conditionalFormatting>
  <conditionalFormatting sqref="CJ8:CJ28">
    <cfRule type="cellIs" dxfId="1" priority="193" operator="equal">
      <formula>"U"</formula>
    </cfRule>
  </conditionalFormatting>
  <conditionalFormatting sqref="CJ8:CJ28">
    <cfRule type="cellIs" dxfId="16" priority="194" operator="equal">
      <formula>"K"</formula>
    </cfRule>
  </conditionalFormatting>
  <conditionalFormatting sqref="CJ8:CJ28">
    <cfRule type="expression" dxfId="10" priority="195">
      <formula>AND(CJ8&lt;&gt;"K",CJ8&lt;&gt;"U",CJ8&lt;&gt;"F",CJ8&lt;&gt;"FT",CJ8&lt;&gt;"Ausflug",COUNTIFS(CJ$8:CJ$28,CJ8)&gt;1)</formula>
    </cfRule>
  </conditionalFormatting>
  <conditionalFormatting sqref="CN4">
    <cfRule type="cellIs" dxfId="12" priority="196" operator="equal">
      <formula>"schulfrei"</formula>
    </cfRule>
  </conditionalFormatting>
  <conditionalFormatting sqref="CN4">
    <cfRule type="cellIs" dxfId="13" priority="197" operator="equal">
      <formula>"Schule"</formula>
    </cfRule>
  </conditionalFormatting>
  <conditionalFormatting sqref="CN6">
    <cfRule type="cellIs" dxfId="0" priority="198" operator="equal">
      <formula>"Sonntag"</formula>
    </cfRule>
  </conditionalFormatting>
  <conditionalFormatting sqref="CN6">
    <cfRule type="cellIs" dxfId="1" priority="199" operator="equal">
      <formula>"Samstag"</formula>
    </cfRule>
  </conditionalFormatting>
  <conditionalFormatting sqref="CN8:CN28">
    <cfRule type="cellIs" dxfId="14" priority="200" operator="equal">
      <formula>"Ausflug"</formula>
    </cfRule>
  </conditionalFormatting>
  <conditionalFormatting sqref="CN8:CN28">
    <cfRule type="cellIs" dxfId="15" priority="201" operator="equal">
      <formula>"F"</formula>
    </cfRule>
  </conditionalFormatting>
  <conditionalFormatting sqref="CN8:CN28">
    <cfRule type="cellIs" dxfId="1" priority="202" operator="equal">
      <formula>"U"</formula>
    </cfRule>
  </conditionalFormatting>
  <conditionalFormatting sqref="CN8:CN28">
    <cfRule type="cellIs" dxfId="16" priority="203" operator="equal">
      <formula>"K"</formula>
    </cfRule>
  </conditionalFormatting>
  <conditionalFormatting sqref="CN8:CN28">
    <cfRule type="expression" dxfId="10" priority="204">
      <formula>AND(CN8&lt;&gt;"K",CN8&lt;&gt;"U",CN8&lt;&gt;"F",CN8&lt;&gt;"FT",CN8&lt;&gt;"Ausflug",COUNTIFS(CN$8:CN$28,CN8)&gt;1)</formula>
    </cfRule>
  </conditionalFormatting>
  <conditionalFormatting sqref="CR4">
    <cfRule type="cellIs" dxfId="12" priority="205" operator="equal">
      <formula>"schulfrei"</formula>
    </cfRule>
  </conditionalFormatting>
  <conditionalFormatting sqref="CR4">
    <cfRule type="cellIs" dxfId="13" priority="206" operator="equal">
      <formula>"Schule"</formula>
    </cfRule>
  </conditionalFormatting>
  <conditionalFormatting sqref="CR6">
    <cfRule type="cellIs" dxfId="0" priority="207" operator="equal">
      <formula>"Sonntag"</formula>
    </cfRule>
  </conditionalFormatting>
  <conditionalFormatting sqref="CR6">
    <cfRule type="cellIs" dxfId="1" priority="208" operator="equal">
      <formula>"Samstag"</formula>
    </cfRule>
  </conditionalFormatting>
  <conditionalFormatting sqref="CR8:CR28">
    <cfRule type="cellIs" dxfId="14" priority="209" operator="equal">
      <formula>"Ausflug"</formula>
    </cfRule>
  </conditionalFormatting>
  <conditionalFormatting sqref="CR8:CR28">
    <cfRule type="cellIs" dxfId="15" priority="210" operator="equal">
      <formula>"F"</formula>
    </cfRule>
  </conditionalFormatting>
  <conditionalFormatting sqref="CR8:CR28">
    <cfRule type="cellIs" dxfId="1" priority="211" operator="equal">
      <formula>"U"</formula>
    </cfRule>
  </conditionalFormatting>
  <conditionalFormatting sqref="CR8:CR28">
    <cfRule type="cellIs" dxfId="16" priority="212" operator="equal">
      <formula>"K"</formula>
    </cfRule>
  </conditionalFormatting>
  <conditionalFormatting sqref="CR8:CR28">
    <cfRule type="expression" dxfId="10" priority="213">
      <formula>AND(CR8&lt;&gt;"K",CR8&lt;&gt;"U",CR8&lt;&gt;"F",CR8&lt;&gt;"FT",CR8&lt;&gt;"Ausflug",COUNTIFS(CR$8:CR$28,CR8)&gt;1)</formula>
    </cfRule>
  </conditionalFormatting>
  <conditionalFormatting sqref="CV4">
    <cfRule type="cellIs" dxfId="12" priority="214" operator="equal">
      <formula>"schulfrei"</formula>
    </cfRule>
  </conditionalFormatting>
  <conditionalFormatting sqref="CV4">
    <cfRule type="cellIs" dxfId="13" priority="215" operator="equal">
      <formula>"Schule"</formula>
    </cfRule>
  </conditionalFormatting>
  <conditionalFormatting sqref="CV6">
    <cfRule type="cellIs" dxfId="0" priority="216" operator="equal">
      <formula>"Sonntag"</formula>
    </cfRule>
  </conditionalFormatting>
  <conditionalFormatting sqref="CV6">
    <cfRule type="cellIs" dxfId="1" priority="217" operator="equal">
      <formula>"Samstag"</formula>
    </cfRule>
  </conditionalFormatting>
  <conditionalFormatting sqref="CV8:CV28">
    <cfRule type="cellIs" dxfId="14" priority="218" operator="equal">
      <formula>"Ausflug"</formula>
    </cfRule>
  </conditionalFormatting>
  <conditionalFormatting sqref="CV8:CV28">
    <cfRule type="cellIs" dxfId="15" priority="219" operator="equal">
      <formula>"F"</formula>
    </cfRule>
  </conditionalFormatting>
  <conditionalFormatting sqref="CV8:CV28">
    <cfRule type="cellIs" dxfId="1" priority="220" operator="equal">
      <formula>"U"</formula>
    </cfRule>
  </conditionalFormatting>
  <conditionalFormatting sqref="CV8:CV28">
    <cfRule type="cellIs" dxfId="16" priority="221" operator="equal">
      <formula>"K"</formula>
    </cfRule>
  </conditionalFormatting>
  <conditionalFormatting sqref="CV8:CV28">
    <cfRule type="expression" dxfId="10" priority="222">
      <formula>AND(CV8&lt;&gt;"K",CV8&lt;&gt;"U",CV8&lt;&gt;"F",CV8&lt;&gt;"FT",CV8&lt;&gt;"Ausflug",COUNTIFS(CV$8:CV$28,CV8)&gt;1)</formula>
    </cfRule>
  </conditionalFormatting>
  <conditionalFormatting sqref="CZ4">
    <cfRule type="cellIs" dxfId="12" priority="223" operator="equal">
      <formula>"schulfrei"</formula>
    </cfRule>
  </conditionalFormatting>
  <conditionalFormatting sqref="CZ4">
    <cfRule type="cellIs" dxfId="13" priority="224" operator="equal">
      <formula>"Schule"</formula>
    </cfRule>
  </conditionalFormatting>
  <conditionalFormatting sqref="CZ6">
    <cfRule type="cellIs" dxfId="0" priority="225" operator="equal">
      <formula>"Sonntag"</formula>
    </cfRule>
  </conditionalFormatting>
  <conditionalFormatting sqref="CZ6">
    <cfRule type="cellIs" dxfId="1" priority="226" operator="equal">
      <formula>"Samstag"</formula>
    </cfRule>
  </conditionalFormatting>
  <conditionalFormatting sqref="CZ8:CZ28">
    <cfRule type="cellIs" dxfId="14" priority="227" operator="equal">
      <formula>"Ausflug"</formula>
    </cfRule>
  </conditionalFormatting>
  <conditionalFormatting sqref="CZ8:CZ28">
    <cfRule type="cellIs" dxfId="15" priority="228" operator="equal">
      <formula>"F"</formula>
    </cfRule>
  </conditionalFormatting>
  <conditionalFormatting sqref="CZ8:CZ28">
    <cfRule type="cellIs" dxfId="1" priority="229" operator="equal">
      <formula>"U"</formula>
    </cfRule>
  </conditionalFormatting>
  <conditionalFormatting sqref="CZ8:CZ28">
    <cfRule type="cellIs" dxfId="16" priority="230" operator="equal">
      <formula>"K"</formula>
    </cfRule>
  </conditionalFormatting>
  <conditionalFormatting sqref="CZ8:CZ28">
    <cfRule type="expression" dxfId="10" priority="231">
      <formula>AND(CZ8&lt;&gt;"K",CZ8&lt;&gt;"U",CZ8&lt;&gt;"F",CZ8&lt;&gt;"FT",CZ8&lt;&gt;"Ausflug",COUNTIFS(CZ$8:CZ$28,CZ8)&gt;1)</formula>
    </cfRule>
  </conditionalFormatting>
  <conditionalFormatting sqref="DD4">
    <cfRule type="cellIs" dxfId="12" priority="232" operator="equal">
      <formula>"schulfrei"</formula>
    </cfRule>
  </conditionalFormatting>
  <conditionalFormatting sqref="DD4">
    <cfRule type="cellIs" dxfId="13" priority="233" operator="equal">
      <formula>"Schule"</formula>
    </cfRule>
  </conditionalFormatting>
  <conditionalFormatting sqref="DD6">
    <cfRule type="cellIs" dxfId="0" priority="234" operator="equal">
      <formula>"Sonntag"</formula>
    </cfRule>
  </conditionalFormatting>
  <conditionalFormatting sqref="DD6">
    <cfRule type="cellIs" dxfId="1" priority="235" operator="equal">
      <formula>"Samstag"</formula>
    </cfRule>
  </conditionalFormatting>
  <conditionalFormatting sqref="DD8:DD28">
    <cfRule type="cellIs" dxfId="14" priority="236" operator="equal">
      <formula>"Ausflug"</formula>
    </cfRule>
  </conditionalFormatting>
  <conditionalFormatting sqref="DD8:DD28">
    <cfRule type="cellIs" dxfId="15" priority="237" operator="equal">
      <formula>"F"</formula>
    </cfRule>
  </conditionalFormatting>
  <conditionalFormatting sqref="DD8:DD28">
    <cfRule type="cellIs" dxfId="1" priority="238" operator="equal">
      <formula>"U"</formula>
    </cfRule>
  </conditionalFormatting>
  <conditionalFormatting sqref="DD8:DD28">
    <cfRule type="cellIs" dxfId="16" priority="239" operator="equal">
      <formula>"K"</formula>
    </cfRule>
  </conditionalFormatting>
  <conditionalFormatting sqref="DD8:DD28">
    <cfRule type="expression" dxfId="10" priority="240">
      <formula>AND(DD8&lt;&gt;"K",DD8&lt;&gt;"U",DD8&lt;&gt;"F",DD8&lt;&gt;"FT",DD8&lt;&gt;"Ausflug",COUNTIFS(DD$8:DD$28,DD8)&gt;1)</formula>
    </cfRule>
  </conditionalFormatting>
  <conditionalFormatting sqref="DH4">
    <cfRule type="cellIs" dxfId="12" priority="241" operator="equal">
      <formula>"schulfrei"</formula>
    </cfRule>
  </conditionalFormatting>
  <conditionalFormatting sqref="DH4">
    <cfRule type="cellIs" dxfId="13" priority="242" operator="equal">
      <formula>"Schule"</formula>
    </cfRule>
  </conditionalFormatting>
  <conditionalFormatting sqref="DH6">
    <cfRule type="cellIs" dxfId="0" priority="243" operator="equal">
      <formula>"Sonntag"</formula>
    </cfRule>
  </conditionalFormatting>
  <conditionalFormatting sqref="DH6">
    <cfRule type="cellIs" dxfId="1" priority="244" operator="equal">
      <formula>"Samstag"</formula>
    </cfRule>
  </conditionalFormatting>
  <conditionalFormatting sqref="DH8:DH28">
    <cfRule type="cellIs" dxfId="14" priority="245" operator="equal">
      <formula>"Ausflug"</formula>
    </cfRule>
  </conditionalFormatting>
  <conditionalFormatting sqref="DH8:DH28">
    <cfRule type="cellIs" dxfId="15" priority="246" operator="equal">
      <formula>"F"</formula>
    </cfRule>
  </conditionalFormatting>
  <conditionalFormatting sqref="DH8:DH28">
    <cfRule type="cellIs" dxfId="1" priority="247" operator="equal">
      <formula>"U"</formula>
    </cfRule>
  </conditionalFormatting>
  <conditionalFormatting sqref="DH8:DH28">
    <cfRule type="cellIs" dxfId="16" priority="248" operator="equal">
      <formula>"K"</formula>
    </cfRule>
  </conditionalFormatting>
  <conditionalFormatting sqref="DH8:DH28">
    <cfRule type="expression" dxfId="10" priority="249">
      <formula>AND(DH8&lt;&gt;"K",DH8&lt;&gt;"U",DH8&lt;&gt;"F",DH8&lt;&gt;"FT",DH8&lt;&gt;"Ausflug",COUNTIFS(DH$8:DH$28,DH8)&gt;1)</formula>
    </cfRule>
  </conditionalFormatting>
  <conditionalFormatting sqref="DL4">
    <cfRule type="cellIs" dxfId="12" priority="250" operator="equal">
      <formula>"schulfrei"</formula>
    </cfRule>
  </conditionalFormatting>
  <conditionalFormatting sqref="DL4">
    <cfRule type="cellIs" dxfId="13" priority="251" operator="equal">
      <formula>"Schule"</formula>
    </cfRule>
  </conditionalFormatting>
  <conditionalFormatting sqref="DL6">
    <cfRule type="cellIs" dxfId="0" priority="252" operator="equal">
      <formula>"Sonntag"</formula>
    </cfRule>
  </conditionalFormatting>
  <conditionalFormatting sqref="DL6">
    <cfRule type="cellIs" dxfId="1" priority="253" operator="equal">
      <formula>"Samstag"</formula>
    </cfRule>
  </conditionalFormatting>
  <conditionalFormatting sqref="DL8:DL28">
    <cfRule type="cellIs" dxfId="14" priority="254" operator="equal">
      <formula>"Ausflug"</formula>
    </cfRule>
  </conditionalFormatting>
  <conditionalFormatting sqref="DL8:DL28">
    <cfRule type="cellIs" dxfId="15" priority="255" operator="equal">
      <formula>"F"</formula>
    </cfRule>
  </conditionalFormatting>
  <conditionalFormatting sqref="DL8:DL28">
    <cfRule type="cellIs" dxfId="1" priority="256" operator="equal">
      <formula>"U"</formula>
    </cfRule>
  </conditionalFormatting>
  <conditionalFormatting sqref="DL8:DL28">
    <cfRule type="cellIs" dxfId="16" priority="257" operator="equal">
      <formula>"K"</formula>
    </cfRule>
  </conditionalFormatting>
  <conditionalFormatting sqref="DL8:DL28">
    <cfRule type="expression" dxfId="10" priority="258">
      <formula>AND(DL8&lt;&gt;"K",DL8&lt;&gt;"U",DL8&lt;&gt;"F",DL8&lt;&gt;"FT",DL8&lt;&gt;"Ausflug",COUNTIFS(DL$8:DL$28,DL8)&gt;1)</formula>
    </cfRule>
  </conditionalFormatting>
  <conditionalFormatting sqref="DP4">
    <cfRule type="cellIs" dxfId="12" priority="259" operator="equal">
      <formula>"schulfrei"</formula>
    </cfRule>
  </conditionalFormatting>
  <conditionalFormatting sqref="DP4">
    <cfRule type="cellIs" dxfId="13" priority="260" operator="equal">
      <formula>"Schule"</formula>
    </cfRule>
  </conditionalFormatting>
  <conditionalFormatting sqref="DP6">
    <cfRule type="cellIs" dxfId="0" priority="261" operator="equal">
      <formula>"Sonntag"</formula>
    </cfRule>
  </conditionalFormatting>
  <conditionalFormatting sqref="DP6">
    <cfRule type="cellIs" dxfId="1" priority="262" operator="equal">
      <formula>"Samstag"</formula>
    </cfRule>
  </conditionalFormatting>
  <conditionalFormatting sqref="DP8:DP28">
    <cfRule type="cellIs" dxfId="14" priority="263" operator="equal">
      <formula>"Ausflug"</formula>
    </cfRule>
  </conditionalFormatting>
  <conditionalFormatting sqref="DP8:DP28">
    <cfRule type="cellIs" dxfId="15" priority="264" operator="equal">
      <formula>"F"</formula>
    </cfRule>
  </conditionalFormatting>
  <conditionalFormatting sqref="DP8:DP28">
    <cfRule type="cellIs" dxfId="1" priority="265" operator="equal">
      <formula>"U"</formula>
    </cfRule>
  </conditionalFormatting>
  <conditionalFormatting sqref="DP8:DP28">
    <cfRule type="cellIs" dxfId="16" priority="266" operator="equal">
      <formula>"K"</formula>
    </cfRule>
  </conditionalFormatting>
  <conditionalFormatting sqref="DP8:DP28">
    <cfRule type="expression" dxfId="10" priority="267">
      <formula>AND(DP8&lt;&gt;"K",DP8&lt;&gt;"U",DP8&lt;&gt;"F",DP8&lt;&gt;"FT",DP8&lt;&gt;"Ausflug",COUNTIFS(DP$8:DP$28,DP8)&gt;1)</formula>
    </cfRule>
  </conditionalFormatting>
  <conditionalFormatting sqref="DT4">
    <cfRule type="cellIs" dxfId="12" priority="268" operator="equal">
      <formula>"schulfrei"</formula>
    </cfRule>
  </conditionalFormatting>
  <conditionalFormatting sqref="DT4">
    <cfRule type="cellIs" dxfId="13" priority="269" operator="equal">
      <formula>"Schule"</formula>
    </cfRule>
  </conditionalFormatting>
  <conditionalFormatting sqref="DT6">
    <cfRule type="cellIs" dxfId="0" priority="270" operator="equal">
      <formula>"Sonntag"</formula>
    </cfRule>
  </conditionalFormatting>
  <conditionalFormatting sqref="DT6">
    <cfRule type="cellIs" dxfId="1" priority="271" operator="equal">
      <formula>"Samstag"</formula>
    </cfRule>
  </conditionalFormatting>
  <conditionalFormatting sqref="DT8:DT28">
    <cfRule type="cellIs" dxfId="14" priority="272" operator="equal">
      <formula>"Ausflug"</formula>
    </cfRule>
  </conditionalFormatting>
  <conditionalFormatting sqref="DT8:DT28">
    <cfRule type="cellIs" dxfId="15" priority="273" operator="equal">
      <formula>"F"</formula>
    </cfRule>
  </conditionalFormatting>
  <conditionalFormatting sqref="DT8:DT28">
    <cfRule type="cellIs" dxfId="1" priority="274" operator="equal">
      <formula>"U"</formula>
    </cfRule>
  </conditionalFormatting>
  <conditionalFormatting sqref="DT8:DT28">
    <cfRule type="cellIs" dxfId="16" priority="275" operator="equal">
      <formula>"K"</formula>
    </cfRule>
  </conditionalFormatting>
  <conditionalFormatting sqref="DT8:DT28">
    <cfRule type="expression" dxfId="10" priority="276">
      <formula>AND(DT8&lt;&gt;"K",DT8&lt;&gt;"U",DT8&lt;&gt;"F",DT8&lt;&gt;"FT",DT8&lt;&gt;"Ausflug",COUNTIFS(DT$8:DT$28,DT8)&gt;1)</formula>
    </cfRule>
  </conditionalFormatting>
  <conditionalFormatting sqref="DX4">
    <cfRule type="cellIs" dxfId="12" priority="277" operator="equal">
      <formula>"schulfrei"</formula>
    </cfRule>
  </conditionalFormatting>
  <conditionalFormatting sqref="DX4">
    <cfRule type="cellIs" dxfId="13" priority="278" operator="equal">
      <formula>"Schule"</formula>
    </cfRule>
  </conditionalFormatting>
  <conditionalFormatting sqref="DX6">
    <cfRule type="cellIs" dxfId="0" priority="279" operator="equal">
      <formula>"Sonntag"</formula>
    </cfRule>
  </conditionalFormatting>
  <conditionalFormatting sqref="DX6">
    <cfRule type="cellIs" dxfId="1" priority="280" operator="equal">
      <formula>"Samstag"</formula>
    </cfRule>
  </conditionalFormatting>
  <conditionalFormatting sqref="DX8:DX28">
    <cfRule type="cellIs" dxfId="14" priority="281" operator="equal">
      <formula>"Ausflug"</formula>
    </cfRule>
  </conditionalFormatting>
  <conditionalFormatting sqref="DX8:DX28">
    <cfRule type="cellIs" dxfId="15" priority="282" operator="equal">
      <formula>"F"</formula>
    </cfRule>
  </conditionalFormatting>
  <conditionalFormatting sqref="DX8:DX28">
    <cfRule type="cellIs" dxfId="1" priority="283" operator="equal">
      <formula>"U"</formula>
    </cfRule>
  </conditionalFormatting>
  <conditionalFormatting sqref="DX8:DX28">
    <cfRule type="cellIs" dxfId="16" priority="284" operator="equal">
      <formula>"K"</formula>
    </cfRule>
  </conditionalFormatting>
  <conditionalFormatting sqref="DX8:DX28">
    <cfRule type="expression" dxfId="10" priority="285">
      <formula>AND(DX8&lt;&gt;"K",DX8&lt;&gt;"U",DX8&lt;&gt;"F",DX8&lt;&gt;"FT",DX8&lt;&gt;"Ausflug",COUNTIFS(DX$8:DX$28,DX8)&gt;1)</formula>
    </cfRule>
  </conditionalFormatting>
  <dataValidations>
    <dataValidation type="list" allowBlank="1" showErrorMessage="1" sqref="B2">
      <formula1>"Januar,Februar,März,April,Mai,Juni,Juli,August,September,Oktober,November,Dezember"</formula1>
    </dataValidation>
    <dataValidation type="list" allowBlank="1" showErrorMessage="1" sqref="H4 L4 P4 T4 X4 AB4 AF4 AJ4 AN4 AR4 AV4 AZ4 BD4 BH4 BL4 BP4 BT4 BX4 CB4 CF4 CJ4 CN4 CR4 CV4 CZ4 DD4 DH4 DL4 DP4 DT4 DX4">
      <formula1>"Schule,schulfrei"</formula1>
    </dataValidation>
    <dataValidation type="list" allowBlank="1" showErrorMessage="1" sqref="CF8:CF23 CJ8:CJ23 BT9:BT25 CV8:CV25 DH8:DH26 H8:H28 L8:L28 P8:P28 T8:T28 X8:X28 AB8:AB28 AF8:AF28 AJ8:AJ28 AN8:AN28 AR8:AR28 AV8:AV28 AZ8:AZ28 BD8:BD28 BH8:BH28 BL8:BL28 BP8:BP28 BT27:BT28 BX8:BX28 CB8:CB28 CF25:CF28 CJ25:CJ28 CN8:CN28 CR8:CR28 CV27:CV28 CZ8:CZ28 DD23:DD28 DH28 DL8:DL28 DP8:DP28 DT8:DT28 DX8:DX28">
      <formula1>SelectDienst</formula1>
    </dataValidation>
    <dataValidation type="list" allowBlank="1" showErrorMessage="1" sqref="DD8:DD20">
      <formula1>Dienste!$B$2:$B$38</formula1>
    </dataValidation>
    <dataValidation type="list" allowBlank="1" showErrorMessage="1" sqref="B3">
      <formula1>"2024,2025,2026,2027,2028,2029,2030"</formula1>
    </dataValidation>
    <dataValidation type="list" allowBlank="1" showErrorMessage="1" sqref="B6">
      <formula1>"Sommer [m.S.],Sommer [o.S.],Winter [m.S.],Winter [o.S.]"</formula1>
    </dataValidation>
    <dataValidation type="list" allowBlank="1" showErrorMessage="1" sqref="H3 L3 P3 T3 X3 AB3 AF3 AJ3 AN3 AR3 AV3 AZ3 BD3 BH3 BL3 BP3 BT3 BX3 CB3 CF3 CJ3 CN3 CR3 CV3 CZ3 DD3 DH3 DL3 DP3 DT3 DX3">
      <formula1>"ja,nein"</formula1>
    </dataValidation>
  </dataValidations>
  <printOptions/>
  <pageMargins bottom="0.787401575" footer="0.0" header="0.0" left="0.7" right="0.7" top="0.787401575"/>
  <pageSetup paperSize="9"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15.71"/>
    <col customWidth="1" min="6" max="6" width="8.71"/>
    <col customWidth="1" min="7" max="25" width="11.43"/>
  </cols>
  <sheetData>
    <row r="1" ht="16.5" customHeight="1">
      <c r="A1" s="58" t="s">
        <v>278</v>
      </c>
      <c r="B1" s="58" t="s">
        <v>2</v>
      </c>
      <c r="C1" s="58" t="s">
        <v>4</v>
      </c>
      <c r="D1" s="60" t="s">
        <v>6</v>
      </c>
      <c r="E1" s="58" t="s">
        <v>7</v>
      </c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6.5" customHeight="1">
      <c r="A2" s="67">
        <v>2202.0</v>
      </c>
      <c r="B2" s="221">
        <f>175/24</f>
        <v>7.291666667</v>
      </c>
      <c r="C2" s="221">
        <f>35/24</f>
        <v>1.458333333</v>
      </c>
      <c r="D2" s="222">
        <v>0.0</v>
      </c>
      <c r="E2" s="223">
        <f>SUM('Umläufe'!$B2:$C2)</f>
        <v>8.75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6.5" customHeight="1">
      <c r="A3" s="67">
        <v>2203.0</v>
      </c>
      <c r="B3" s="221"/>
      <c r="C3" s="221"/>
      <c r="D3" s="222"/>
      <c r="E3" s="22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6.5" customHeight="1">
      <c r="A4" s="67">
        <v>2204.0</v>
      </c>
      <c r="B4" s="221"/>
      <c r="C4" s="221"/>
      <c r="D4" s="222"/>
      <c r="E4" s="22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6.5" customHeight="1">
      <c r="A5" s="67">
        <v>2205.0</v>
      </c>
      <c r="B5" s="221"/>
      <c r="C5" s="221"/>
      <c r="D5" s="222"/>
      <c r="E5" s="22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6.5" customHeight="1">
      <c r="A6" s="67">
        <v>2206.0</v>
      </c>
      <c r="B6" s="221"/>
      <c r="C6" s="221"/>
      <c r="D6" s="222"/>
      <c r="E6" s="22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6.5" customHeight="1">
      <c r="A7" s="67">
        <v>2207.0</v>
      </c>
      <c r="B7" s="221"/>
      <c r="C7" s="221"/>
      <c r="D7" s="222"/>
      <c r="E7" s="22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6.5" customHeight="1">
      <c r="A8" s="67">
        <v>2301.0</v>
      </c>
      <c r="B8" s="221"/>
      <c r="C8" s="221"/>
      <c r="D8" s="222"/>
      <c r="E8" s="22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6.5" customHeight="1">
      <c r="A9" s="67">
        <v>2302.0</v>
      </c>
      <c r="B9" s="221"/>
      <c r="C9" s="221"/>
      <c r="D9" s="222"/>
      <c r="E9" s="22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6.5" customHeight="1">
      <c r="A10" s="67">
        <v>2303.0</v>
      </c>
      <c r="B10" s="221"/>
      <c r="C10" s="221"/>
      <c r="D10" s="222"/>
      <c r="E10" s="22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6.5" customHeight="1">
      <c r="A11" s="67">
        <v>2304.0</v>
      </c>
      <c r="B11" s="221"/>
      <c r="C11" s="221"/>
      <c r="D11" s="222"/>
      <c r="E11" s="22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6.5" customHeight="1">
      <c r="A12" s="67">
        <v>2501.0</v>
      </c>
      <c r="B12" s="221"/>
      <c r="C12" s="221"/>
      <c r="D12" s="222"/>
      <c r="E12" s="22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6.5" customHeight="1">
      <c r="A13" s="67">
        <v>2502.0</v>
      </c>
      <c r="B13" s="221"/>
      <c r="C13" s="221"/>
      <c r="D13" s="222"/>
      <c r="E13" s="22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customHeight="1">
      <c r="A14" s="67">
        <v>2503.0</v>
      </c>
      <c r="B14" s="221"/>
      <c r="C14" s="221"/>
      <c r="D14" s="222"/>
      <c r="E14" s="22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6.5" customHeight="1">
      <c r="A15" s="67">
        <v>2504.0</v>
      </c>
      <c r="B15" s="221"/>
      <c r="C15" s="221"/>
      <c r="D15" s="222"/>
      <c r="E15" s="22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6.5" customHeight="1">
      <c r="A16" s="67">
        <v>2601.0</v>
      </c>
      <c r="B16" s="221"/>
      <c r="C16" s="221"/>
      <c r="D16" s="222"/>
      <c r="E16" s="22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6.5" customHeight="1">
      <c r="A17" s="67">
        <v>2602.0</v>
      </c>
      <c r="B17" s="221"/>
      <c r="C17" s="221"/>
      <c r="D17" s="222"/>
      <c r="E17" s="22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6.5" customHeight="1">
      <c r="A18" s="67">
        <v>2801.0</v>
      </c>
      <c r="B18" s="221"/>
      <c r="C18" s="221"/>
      <c r="D18" s="222"/>
      <c r="E18" s="22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6.5" customHeight="1">
      <c r="A19" s="67">
        <v>2802.0</v>
      </c>
      <c r="B19" s="221"/>
      <c r="C19" s="221"/>
      <c r="D19" s="222"/>
      <c r="E19" s="22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6.5" customHeight="1">
      <c r="A20" s="67">
        <v>2201.0</v>
      </c>
      <c r="B20" s="221"/>
      <c r="C20" s="221"/>
      <c r="D20" s="222"/>
      <c r="E20" s="22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6.5" customHeight="1">
      <c r="A21" s="67">
        <v>2803.0</v>
      </c>
      <c r="B21" s="221"/>
      <c r="C21" s="221"/>
      <c r="D21" s="222"/>
      <c r="E21" s="22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6.5" customHeight="1">
      <c r="A22" s="67">
        <v>2804.0</v>
      </c>
      <c r="B22" s="221"/>
      <c r="C22" s="221"/>
      <c r="D22" s="222"/>
      <c r="E22" s="22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6.5" customHeight="1">
      <c r="A23" s="67">
        <v>2805.0</v>
      </c>
      <c r="B23" s="221"/>
      <c r="C23" s="221"/>
      <c r="D23" s="222"/>
      <c r="E23" s="22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customHeight="1">
      <c r="A24" s="67" t="s">
        <v>9</v>
      </c>
      <c r="B24" s="221"/>
      <c r="C24" s="221"/>
      <c r="D24" s="222"/>
      <c r="E24" s="22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6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6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6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6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6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6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6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6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6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6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6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6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6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6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6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6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6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6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6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6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6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6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6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6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6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6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6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6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6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6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6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6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6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6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6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6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6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6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6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6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6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6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6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6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6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6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6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6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6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6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6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6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6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6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6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6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6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6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6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6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paperSize="9" orientation="portrait"/>
  <drawing r:id="rId1"/>
  <tableParts count="1">
    <tablePart r:id="rId3"/>
  </tableParts>
</worksheet>
</file>